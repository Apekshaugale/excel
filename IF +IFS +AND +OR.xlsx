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a069205656c65a3/Documents/"/>
    </mc:Choice>
  </mc:AlternateContent>
  <xr:revisionPtr revIDLastSave="0" documentId="8_{62BEDB8B-4B1E-47F8-904D-F66F1C0C5B11}" xr6:coauthVersionLast="47" xr6:coauthVersionMax="47" xr10:uidLastSave="{00000000-0000-0000-0000-000000000000}"/>
  <bookViews>
    <workbookView xWindow="-108" yWindow="-108" windowWidth="23256" windowHeight="12456" xr2:uid="{6371BE39-685B-42FE-B5CC-9CD800A052B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3" i="1" l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2" i="1"/>
  <c r="AJ3" i="1"/>
  <c r="AJ4" i="1"/>
  <c r="AJ5" i="1"/>
  <c r="AJ6" i="1"/>
  <c r="AJ7" i="1"/>
  <c r="AJ8" i="1"/>
  <c r="AJ9" i="1"/>
  <c r="AJ10" i="1"/>
  <c r="AJ11" i="1"/>
  <c r="AJ12" i="1"/>
  <c r="AJ13" i="1"/>
  <c r="AJ14" i="1"/>
  <c r="AJ15" i="1"/>
  <c r="AJ16" i="1"/>
  <c r="AJ2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2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2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2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B6" i="1"/>
  <c r="AC2" i="1"/>
  <c r="AB3" i="1"/>
  <c r="AB4" i="1"/>
  <c r="AB5" i="1"/>
  <c r="AB7" i="1"/>
  <c r="AB8" i="1"/>
  <c r="AB9" i="1"/>
  <c r="AB10" i="1"/>
  <c r="AB11" i="1"/>
  <c r="AB12" i="1"/>
  <c r="AB13" i="1"/>
  <c r="AB14" i="1"/>
  <c r="AB15" i="1"/>
  <c r="AB16" i="1"/>
  <c r="AB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2" i="1"/>
  <c r="Z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U2" i="1" a="1"/>
  <c r="U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2" i="1"/>
  <c r="W3" i="1" a="1"/>
  <c r="W3" i="1" s="1"/>
  <c r="W4" i="1" a="1"/>
  <c r="W4" i="1" s="1"/>
  <c r="W5" i="1" a="1"/>
  <c r="W5" i="1" s="1"/>
  <c r="W6" i="1" a="1"/>
  <c r="W6" i="1" s="1"/>
  <c r="W7" i="1" a="1"/>
  <c r="W7" i="1" s="1"/>
  <c r="W8" i="1" a="1"/>
  <c r="W8" i="1" s="1"/>
  <c r="W9" i="1" a="1"/>
  <c r="W9" i="1"/>
  <c r="W10" i="1" a="1"/>
  <c r="W10" i="1" s="1"/>
  <c r="W11" i="1" a="1"/>
  <c r="W11" i="1" s="1"/>
  <c r="W12" i="1" a="1"/>
  <c r="W12" i="1" s="1"/>
  <c r="W13" i="1" a="1"/>
  <c r="W13" i="1" s="1"/>
  <c r="W14" i="1" a="1"/>
  <c r="W14" i="1" s="1"/>
  <c r="W15" i="1" a="1"/>
  <c r="W15" i="1" s="1"/>
  <c r="W16" i="1" a="1"/>
  <c r="W16" i="1" s="1"/>
  <c r="W2" i="1" a="1"/>
  <c r="W2" i="1" s="1"/>
  <c r="V3" i="1" a="1"/>
  <c r="V3" i="1" s="1"/>
  <c r="V4" i="1" a="1"/>
  <c r="V4" i="1" s="1"/>
  <c r="V5" i="1" a="1"/>
  <c r="V5" i="1"/>
  <c r="V6" i="1" a="1"/>
  <c r="V6" i="1" s="1"/>
  <c r="V7" i="1" a="1"/>
  <c r="V7" i="1" s="1"/>
  <c r="V8" i="1" a="1"/>
  <c r="V8" i="1" s="1"/>
  <c r="V9" i="1" a="1"/>
  <c r="V9" i="1" s="1"/>
  <c r="V10" i="1" a="1"/>
  <c r="V10" i="1" s="1"/>
  <c r="V11" i="1" a="1"/>
  <c r="V11" i="1" s="1"/>
  <c r="V12" i="1" a="1"/>
  <c r="V12" i="1" s="1"/>
  <c r="V13" i="1" a="1"/>
  <c r="V13" i="1" s="1"/>
  <c r="V14" i="1" a="1"/>
  <c r="V14" i="1"/>
  <c r="V15" i="1" a="1"/>
  <c r="V15" i="1"/>
  <c r="V16" i="1" a="1"/>
  <c r="V16" i="1" s="1"/>
  <c r="V2" i="1" a="1"/>
  <c r="V2" i="1" s="1"/>
  <c r="U3" i="1" a="1"/>
  <c r="U3" i="1" s="1"/>
  <c r="U4" i="1" a="1"/>
  <c r="U4" i="1" s="1"/>
  <c r="U5" i="1" a="1"/>
  <c r="U5" i="1"/>
  <c r="U6" i="1" a="1"/>
  <c r="U6" i="1" s="1"/>
  <c r="U7" i="1" a="1"/>
  <c r="U7" i="1"/>
  <c r="U8" i="1" a="1"/>
  <c r="U8" i="1" s="1"/>
  <c r="U9" i="1" a="1"/>
  <c r="U9" i="1" s="1"/>
  <c r="U10" i="1" a="1"/>
  <c r="U10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T3" i="1" a="1"/>
  <c r="T3" i="1" s="1"/>
  <c r="T4" i="1" a="1"/>
  <c r="T4" i="1" s="1"/>
  <c r="T5" i="1" a="1"/>
  <c r="T5" i="1" s="1"/>
  <c r="T6" i="1" a="1"/>
  <c r="T6" i="1" s="1"/>
  <c r="T7" i="1" a="1"/>
  <c r="T7" i="1" s="1"/>
  <c r="T8" i="1" a="1"/>
  <c r="T8" i="1" s="1"/>
  <c r="T9" i="1" a="1"/>
  <c r="T9" i="1" s="1"/>
  <c r="T10" i="1" a="1"/>
  <c r="T10" i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2" i="1" a="1"/>
  <c r="T2" i="1" s="1"/>
  <c r="S2" i="1" a="1"/>
  <c r="S2" i="1" s="1"/>
  <c r="S3" i="1" a="1"/>
  <c r="S3" i="1" s="1"/>
  <c r="S4" i="1" a="1"/>
  <c r="S4" i="1" s="1"/>
  <c r="S5" i="1" a="1"/>
  <c r="S5" i="1" s="1"/>
  <c r="S6" i="1" a="1"/>
  <c r="S6" i="1"/>
  <c r="S7" i="1" a="1"/>
  <c r="S7" i="1"/>
  <c r="S8" i="1" a="1"/>
  <c r="S8" i="1" s="1"/>
  <c r="S9" i="1" a="1"/>
  <c r="S9" i="1" s="1"/>
  <c r="S10" i="1" a="1"/>
  <c r="S10" i="1" s="1"/>
  <c r="S11" i="1" a="1"/>
  <c r="S11" i="1"/>
  <c r="S12" i="1" a="1"/>
  <c r="S12" i="1" s="1"/>
  <c r="S13" i="1" a="1"/>
  <c r="S13" i="1" s="1"/>
  <c r="S14" i="1" a="1"/>
  <c r="S14" i="1"/>
  <c r="S15" i="1" a="1"/>
  <c r="S15" i="1" s="1"/>
  <c r="S16" i="1" a="1"/>
  <c r="S16" i="1" s="1"/>
  <c r="R3" i="1" a="1"/>
  <c r="R3" i="1" s="1"/>
  <c r="R2" i="1" a="1"/>
  <c r="R2" i="1" s="1"/>
  <c r="R4" i="1" a="1"/>
  <c r="R4" i="1" s="1"/>
  <c r="R5" i="1" a="1"/>
  <c r="R5" i="1" s="1"/>
  <c r="R6" i="1" a="1"/>
  <c r="R6" i="1" s="1"/>
  <c r="R7" i="1" a="1"/>
  <c r="R7" i="1" s="1"/>
  <c r="R8" i="1" a="1"/>
  <c r="R8" i="1" s="1"/>
  <c r="R9" i="1" a="1"/>
  <c r="R9" i="1" s="1"/>
  <c r="R10" i="1" a="1"/>
  <c r="R10" i="1" s="1"/>
  <c r="R11" i="1" a="1"/>
  <c r="R11" i="1" s="1"/>
  <c r="R12" i="1" a="1"/>
  <c r="R12" i="1" s="1"/>
  <c r="R13" i="1" a="1"/>
  <c r="R13" i="1" s="1"/>
  <c r="R14" i="1" a="1"/>
  <c r="R14" i="1" s="1"/>
  <c r="R15" i="1" a="1"/>
  <c r="R15" i="1" s="1"/>
  <c r="R16" i="1" a="1"/>
  <c r="R16" i="1" s="1"/>
  <c r="Q3" i="1" a="1"/>
  <c r="Q3" i="1" s="1"/>
  <c r="Q4" i="1" a="1"/>
  <c r="Q4" i="1" s="1"/>
  <c r="Q5" i="1" a="1"/>
  <c r="Q5" i="1"/>
  <c r="Q6" i="1" a="1"/>
  <c r="Q6" i="1" s="1"/>
  <c r="Q7" i="1" a="1"/>
  <c r="Q7" i="1" s="1"/>
  <c r="Q8" i="1" a="1"/>
  <c r="Q8" i="1" s="1"/>
  <c r="Q9" i="1" a="1"/>
  <c r="Q9" i="1" s="1"/>
  <c r="Q10" i="1" a="1"/>
  <c r="Q10" i="1" s="1"/>
  <c r="Q11" i="1" a="1"/>
  <c r="Q11" i="1" s="1"/>
  <c r="Q12" i="1" a="1"/>
  <c r="Q12" i="1" s="1"/>
  <c r="Q13" i="1" a="1"/>
  <c r="Q13" i="1" s="1"/>
  <c r="Q14" i="1" a="1"/>
  <c r="Q14" i="1" s="1"/>
  <c r="Q15" i="1" a="1"/>
  <c r="Q15" i="1" s="1"/>
  <c r="Q16" i="1" a="1"/>
  <c r="Q16" i="1"/>
  <c r="Q2" i="1" a="1"/>
  <c r="Q2" i="1" s="1"/>
  <c r="P2" i="1" a="1"/>
  <c r="P2" i="1" s="1"/>
  <c r="O2" i="1" a="1"/>
  <c r="O2" i="1" s="1"/>
  <c r="N2" i="1" a="1"/>
  <c r="N2" i="1" s="1"/>
  <c r="M2" i="1" a="1"/>
  <c r="M2" i="1" s="1"/>
  <c r="K2" i="1" a="1"/>
  <c r="K2" i="1" s="1"/>
  <c r="L2" i="1" a="1"/>
  <c r="L2" i="1" s="1"/>
  <c r="J2" i="1" a="1"/>
  <c r="J2" i="1" s="1"/>
  <c r="AU3" i="1" a="1"/>
  <c r="AU3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<sst xmlns="http://schemas.openxmlformats.org/spreadsheetml/2006/main" count="229" uniqueCount="170">
  <si>
    <t>Emp ID</t>
  </si>
  <si>
    <t>Employee Name</t>
  </si>
  <si>
    <t>Department</t>
  </si>
  <si>
    <t>Salary</t>
  </si>
  <si>
    <t>Coffee/Day ☕</t>
  </si>
  <si>
    <t>Bunk Days 😴</t>
  </si>
  <si>
    <t>Google Searches 🔍</t>
  </si>
  <si>
    <t>Favourite Food 🍕</t>
  </si>
  <si>
    <t>Mood 😎</t>
  </si>
  <si>
    <t>E101</t>
  </si>
  <si>
    <t>Ravi</t>
  </si>
  <si>
    <t>Python</t>
  </si>
  <si>
    <t>Pizza</t>
  </si>
  <si>
    <t>Happy</t>
  </si>
  <si>
    <t>E102</t>
  </si>
  <si>
    <t>Priya</t>
  </si>
  <si>
    <t>Testing</t>
  </si>
  <si>
    <t>Biryani</t>
  </si>
  <si>
    <t>Excited</t>
  </si>
  <si>
    <t>E103</t>
  </si>
  <si>
    <t>Kiran</t>
  </si>
  <si>
    <t>SQL</t>
  </si>
  <si>
    <t>Dosa</t>
  </si>
  <si>
    <t>Sleepy</t>
  </si>
  <si>
    <t>E104</t>
  </si>
  <si>
    <t>Sneha</t>
  </si>
  <si>
    <t>E105</t>
  </si>
  <si>
    <t>Arjun</t>
  </si>
  <si>
    <t>Java</t>
  </si>
  <si>
    <t>Burger</t>
  </si>
  <si>
    <t>E106</t>
  </si>
  <si>
    <t>Anjali</t>
  </si>
  <si>
    <t>E107</t>
  </si>
  <si>
    <t>Rohit</t>
  </si>
  <si>
    <t>E108</t>
  </si>
  <si>
    <t>Pooja</t>
  </si>
  <si>
    <t>E109</t>
  </si>
  <si>
    <t>Vivek</t>
  </si>
  <si>
    <t>E110</t>
  </si>
  <si>
    <t>Divya</t>
  </si>
  <si>
    <t>E111</t>
  </si>
  <si>
    <t>Akash</t>
  </si>
  <si>
    <t>E112</t>
  </si>
  <si>
    <t>Neha</t>
  </si>
  <si>
    <t>E113</t>
  </si>
  <si>
    <t>Suresh</t>
  </si>
  <si>
    <t>E114</t>
  </si>
  <si>
    <t>Kavya</t>
  </si>
  <si>
    <t>E115</t>
  </si>
  <si>
    <t>Manoj</t>
  </si>
  <si>
    <t>1. Salary Status</t>
  </si>
  <si>
    <r>
      <t xml:space="preserve">If Salary is </t>
    </r>
    <r>
      <rPr>
        <b/>
        <sz val="11"/>
        <color theme="1"/>
        <rFont val="Aptos Narrow"/>
        <family val="2"/>
        <scheme val="minor"/>
      </rPr>
      <t>greater than or equal to ₹40,000</t>
    </r>
    <r>
      <rPr>
        <sz val="11"/>
        <color theme="1"/>
        <rFont val="Aptos Narrow"/>
        <family val="2"/>
        <scheme val="minor"/>
      </rPr>
      <t xml:space="preserve">, display </t>
    </r>
    <r>
      <rPr>
        <sz val="10"/>
        <color theme="1"/>
        <rFont val="Arial Unicode MS"/>
      </rPr>
      <t>"High Salary"</t>
    </r>
    <r>
      <rPr>
        <sz val="11"/>
        <color theme="1"/>
        <rFont val="Aptos Narrow"/>
        <family val="2"/>
        <scheme val="minor"/>
      </rPr>
      <t xml:space="preserve">, otherwise </t>
    </r>
    <r>
      <rPr>
        <sz val="10"/>
        <color theme="1"/>
        <rFont val="Arial Unicode MS"/>
      </rPr>
      <t>"Normal Salary"</t>
    </r>
    <r>
      <rPr>
        <sz val="11"/>
        <color theme="1"/>
        <rFont val="Aptos Narrow"/>
        <family val="2"/>
        <scheme val="minor"/>
      </rPr>
      <t>.</t>
    </r>
  </si>
  <si>
    <t>2. Coffee Status</t>
  </si>
  <si>
    <r>
      <t xml:space="preserve">If Coffee/Day is </t>
    </r>
    <r>
      <rPr>
        <b/>
        <sz val="11"/>
        <color theme="1"/>
        <rFont val="Aptos Narrow"/>
        <family val="2"/>
        <scheme val="minor"/>
      </rPr>
      <t>greater than or equal to 4</t>
    </r>
    <r>
      <rPr>
        <sz val="11"/>
        <color theme="1"/>
        <rFont val="Aptos Narrow"/>
        <family val="2"/>
        <scheme val="minor"/>
      </rPr>
      <t xml:space="preserve">, display </t>
    </r>
    <r>
      <rPr>
        <sz val="10"/>
        <color theme="1"/>
        <rFont val="Arial Unicode MS"/>
      </rPr>
      <t>"Heavy Coffee Drinker"</t>
    </r>
    <r>
      <rPr>
        <sz val="11"/>
        <color theme="1"/>
        <rFont val="Aptos Narrow"/>
        <family val="2"/>
        <scheme val="minor"/>
      </rPr>
      <t xml:space="preserve">, otherwise </t>
    </r>
    <r>
      <rPr>
        <sz val="10"/>
        <color theme="1"/>
        <rFont val="Arial Unicode MS"/>
      </rPr>
      <t>"Normal"</t>
    </r>
    <r>
      <rPr>
        <sz val="11"/>
        <color theme="1"/>
        <rFont val="Aptos Narrow"/>
        <family val="2"/>
        <scheme val="minor"/>
      </rPr>
      <t>.</t>
    </r>
  </si>
  <si>
    <t>3. Attendance Status</t>
  </si>
  <si>
    <r>
      <t xml:space="preserve">If Bunk Days is </t>
    </r>
    <r>
      <rPr>
        <b/>
        <sz val="11"/>
        <color theme="1"/>
        <rFont val="Aptos Narrow"/>
        <family val="2"/>
        <scheme val="minor"/>
      </rPr>
      <t>greater than 3</t>
    </r>
    <r>
      <rPr>
        <sz val="11"/>
        <color theme="1"/>
        <rFont val="Aptos Narrow"/>
        <family val="2"/>
        <scheme val="minor"/>
      </rPr>
      <t xml:space="preserve">, display </t>
    </r>
    <r>
      <rPr>
        <sz val="10"/>
        <color theme="1"/>
        <rFont val="Arial Unicode MS"/>
      </rPr>
      <t>"Poor Attendance"</t>
    </r>
    <r>
      <rPr>
        <sz val="11"/>
        <color theme="1"/>
        <rFont val="Aptos Narrow"/>
        <family val="2"/>
        <scheme val="minor"/>
      </rPr>
      <t xml:space="preserve">, otherwise </t>
    </r>
    <r>
      <rPr>
        <sz val="10"/>
        <color theme="1"/>
        <rFont val="Arial Unicode MS"/>
      </rPr>
      <t>"Good Attendance"</t>
    </r>
    <r>
      <rPr>
        <sz val="11"/>
        <color theme="1"/>
        <rFont val="Aptos Narrow"/>
        <family val="2"/>
        <scheme val="minor"/>
      </rPr>
      <t>.</t>
    </r>
  </si>
  <si>
    <t>4. Search Activity</t>
  </si>
  <si>
    <r>
      <t xml:space="preserve">If Google Searches are </t>
    </r>
    <r>
      <rPr>
        <b/>
        <sz val="11"/>
        <color theme="1"/>
        <rFont val="Aptos Narrow"/>
        <family val="2"/>
        <scheme val="minor"/>
      </rPr>
      <t>greater than or equal to 20</t>
    </r>
    <r>
      <rPr>
        <sz val="11"/>
        <color theme="1"/>
        <rFont val="Aptos Narrow"/>
        <family val="2"/>
        <scheme val="minor"/>
      </rPr>
      <t xml:space="preserve">, display </t>
    </r>
    <r>
      <rPr>
        <sz val="10"/>
        <color theme="1"/>
        <rFont val="Arial Unicode MS"/>
      </rPr>
      <t>"High Search"</t>
    </r>
    <r>
      <rPr>
        <sz val="11"/>
        <color theme="1"/>
        <rFont val="Aptos Narrow"/>
        <family val="2"/>
        <scheme val="minor"/>
      </rPr>
      <t xml:space="preserve"> otherwise </t>
    </r>
    <r>
      <rPr>
        <sz val="10"/>
        <color theme="1"/>
        <rFont val="Arial Unicode MS"/>
      </rPr>
      <t>"Normal Search"</t>
    </r>
    <r>
      <rPr>
        <sz val="11"/>
        <color theme="1"/>
        <rFont val="Aptos Narrow"/>
        <family val="2"/>
        <scheme val="minor"/>
      </rPr>
      <t>.</t>
    </r>
  </si>
  <si>
    <t>5. Department Check</t>
  </si>
  <si>
    <r>
      <t xml:space="preserve">If Department is </t>
    </r>
    <r>
      <rPr>
        <sz val="10"/>
        <color theme="1"/>
        <rFont val="Arial Unicode MS"/>
      </rPr>
      <t>"Python"</t>
    </r>
    <r>
      <rPr>
        <sz val="11"/>
        <color theme="1"/>
        <rFont val="Aptos Narrow"/>
        <family val="2"/>
        <scheme val="minor"/>
      </rPr>
      <t xml:space="preserve">, display </t>
    </r>
    <r>
      <rPr>
        <sz val="10"/>
        <color theme="1"/>
        <rFont val="Arial Unicode MS"/>
      </rPr>
      <t>"Python Employee"</t>
    </r>
    <r>
      <rPr>
        <sz val="11"/>
        <color theme="1"/>
        <rFont val="Aptos Narrow"/>
        <family val="2"/>
        <scheme val="minor"/>
      </rPr>
      <t xml:space="preserve">, otherwise </t>
    </r>
    <r>
      <rPr>
        <sz val="10"/>
        <color theme="1"/>
        <rFont val="Arial Unicode MS"/>
      </rPr>
      <t>"Other Department"</t>
    </r>
    <r>
      <rPr>
        <sz val="11"/>
        <color theme="1"/>
        <rFont val="Aptos Narrow"/>
        <family val="2"/>
        <scheme val="minor"/>
      </rPr>
      <t>.</t>
    </r>
  </si>
  <si>
    <t>6. Food Check</t>
  </si>
  <si>
    <r>
      <t xml:space="preserve">If Favourite Food is </t>
    </r>
    <r>
      <rPr>
        <sz val="10"/>
        <color theme="1"/>
        <rFont val="Arial Unicode MS"/>
      </rPr>
      <t>"Pizza"</t>
    </r>
    <r>
      <rPr>
        <sz val="11"/>
        <color theme="1"/>
        <rFont val="Aptos Narrow"/>
        <family val="2"/>
        <scheme val="minor"/>
      </rPr>
      <t xml:space="preserve">, display </t>
    </r>
    <r>
      <rPr>
        <sz val="10"/>
        <color theme="1"/>
        <rFont val="Arial Unicode MS"/>
      </rPr>
      <t>"Pizza Lover"</t>
    </r>
    <r>
      <rPr>
        <sz val="11"/>
        <color theme="1"/>
        <rFont val="Aptos Narrow"/>
        <family val="2"/>
        <scheme val="minor"/>
      </rPr>
      <t xml:space="preserve">, otherwise </t>
    </r>
    <r>
      <rPr>
        <sz val="10"/>
        <color theme="1"/>
        <rFont val="Arial Unicode MS"/>
      </rPr>
      <t>"Other Food"</t>
    </r>
    <r>
      <rPr>
        <sz val="11"/>
        <color theme="1"/>
        <rFont val="Aptos Narrow"/>
        <family val="2"/>
        <scheme val="minor"/>
      </rPr>
      <t>.</t>
    </r>
  </si>
  <si>
    <t>7. Mood Check</t>
  </si>
  <si>
    <r>
      <t xml:space="preserve">If Mood is </t>
    </r>
    <r>
      <rPr>
        <sz val="10"/>
        <color theme="1"/>
        <rFont val="Arial Unicode MS"/>
      </rPr>
      <t>"Happy"</t>
    </r>
    <r>
      <rPr>
        <sz val="11"/>
        <color theme="1"/>
        <rFont val="Aptos Narrow"/>
        <family val="2"/>
        <scheme val="minor"/>
      </rPr>
      <t xml:space="preserve">, display </t>
    </r>
    <r>
      <rPr>
        <sz val="10"/>
        <color theme="1"/>
        <rFont val="Arial Unicode MS"/>
      </rPr>
      <t>"Good Mood"</t>
    </r>
    <r>
      <rPr>
        <sz val="11"/>
        <color theme="1"/>
        <rFont val="Aptos Narrow"/>
        <family val="2"/>
        <scheme val="minor"/>
      </rPr>
      <t xml:space="preserve">, otherwise </t>
    </r>
    <r>
      <rPr>
        <sz val="10"/>
        <color theme="1"/>
        <rFont val="Arial Unicode MS"/>
      </rPr>
      <t>"Other Mood"</t>
    </r>
    <r>
      <rPr>
        <sz val="11"/>
        <color theme="1"/>
        <rFont val="Aptos Narrow"/>
        <family val="2"/>
        <scheme val="minor"/>
      </rPr>
      <t>.</t>
    </r>
  </si>
  <si>
    <t>8. Salary Category</t>
  </si>
  <si>
    <t>Category</t>
  </si>
  <si>
    <t>&gt;= 50,000</t>
  </si>
  <si>
    <t>Excellent</t>
  </si>
  <si>
    <t>&gt;= 40,000</t>
  </si>
  <si>
    <t>Very Good</t>
  </si>
  <si>
    <t>&gt;= 30,000</t>
  </si>
  <si>
    <t>Good</t>
  </si>
  <si>
    <t>&lt; 30,000</t>
  </si>
  <si>
    <t>Low</t>
  </si>
  <si>
    <t>9. Coffee Category</t>
  </si>
  <si>
    <t>Coffee/Day</t>
  </si>
  <si>
    <t>&gt;= 5</t>
  </si>
  <si>
    <t>Heavy</t>
  </si>
  <si>
    <t>&gt;= 3</t>
  </si>
  <si>
    <t>Moderate</t>
  </si>
  <si>
    <t>&gt;= 1</t>
  </si>
  <si>
    <t>Normal</t>
  </si>
  <si>
    <t>No Coffee</t>
  </si>
  <si>
    <t>10. Bunk Category</t>
  </si>
  <si>
    <t>Bunk Days</t>
  </si>
  <si>
    <t>Very High</t>
  </si>
  <si>
    <t>High</t>
  </si>
  <si>
    <t>No Bunk</t>
  </si>
  <si>
    <t>11. Google Search Category</t>
  </si>
  <si>
    <t>Searches</t>
  </si>
  <si>
    <t>&gt;= 30</t>
  </si>
  <si>
    <t>&gt;= 20</t>
  </si>
  <si>
    <t>&gt;= 10</t>
  </si>
  <si>
    <t>&lt; 10</t>
  </si>
  <si>
    <t>12. Employee Grade</t>
  </si>
  <si>
    <t>Grade</t>
  </si>
  <si>
    <t>A</t>
  </si>
  <si>
    <t>B</t>
  </si>
  <si>
    <t>C</t>
  </si>
  <si>
    <t>D</t>
  </si>
  <si>
    <t>13. Employee Activity</t>
  </si>
  <si>
    <t>Activity</t>
  </si>
  <si>
    <t>Very Active</t>
  </si>
  <si>
    <t>Active</t>
  </si>
  <si>
    <t>Less Active</t>
  </si>
  <si>
    <t>14. Coffee Rating</t>
  </si>
  <si>
    <t>Rating</t>
  </si>
  <si>
    <t>Coffee Addict</t>
  </si>
  <si>
    <t>&gt;= 4</t>
  </si>
  <si>
    <t>Heavy Drinker</t>
  </si>
  <si>
    <t>&gt;= 2</t>
  </si>
  <si>
    <t>Regular Drinker</t>
  </si>
  <si>
    <t>&lt; 2</t>
  </si>
  <si>
    <t>Light Drinker</t>
  </si>
  <si>
    <t>15. Employee Eligibility</t>
  </si>
  <si>
    <r>
      <t xml:space="preserve">If </t>
    </r>
    <r>
      <rPr>
        <b/>
        <sz val="11"/>
        <color theme="1"/>
        <rFont val="Aptos Narrow"/>
        <family val="2"/>
        <scheme val="minor"/>
      </rPr>
      <t>Salary &gt;= 35,000 AND Department = Python</t>
    </r>
    <r>
      <rPr>
        <sz val="11"/>
        <color theme="1"/>
        <rFont val="Aptos Narrow"/>
        <family val="2"/>
        <scheme val="minor"/>
      </rPr>
      <t xml:space="preserve">, display </t>
    </r>
    <r>
      <rPr>
        <sz val="10"/>
        <color theme="1"/>
        <rFont val="Arial Unicode MS"/>
      </rPr>
      <t>"Eligible"</t>
    </r>
    <r>
      <rPr>
        <sz val="11"/>
        <color theme="1"/>
        <rFont val="Aptos Narrow"/>
        <family val="2"/>
        <scheme val="minor"/>
      </rPr>
      <t xml:space="preserve">, otherwise </t>
    </r>
    <r>
      <rPr>
        <sz val="10"/>
        <color theme="1"/>
        <rFont val="Arial Unicode MS"/>
      </rPr>
      <t>"Not Eligible"</t>
    </r>
    <r>
      <rPr>
        <sz val="11"/>
        <color theme="1"/>
        <rFont val="Aptos Narrow"/>
        <family val="2"/>
        <scheme val="minor"/>
      </rPr>
      <t>.</t>
    </r>
  </si>
  <si>
    <t>16. Employee Attention</t>
  </si>
  <si>
    <r>
      <t xml:space="preserve">If </t>
    </r>
    <r>
      <rPr>
        <b/>
        <sz val="11"/>
        <color theme="1"/>
        <rFont val="Aptos Narrow"/>
        <family val="2"/>
        <scheme val="minor"/>
      </rPr>
      <t>Coffee/Day &gt;= 4 AND Bunk Days &gt;= 3</t>
    </r>
    <r>
      <rPr>
        <sz val="11"/>
        <color theme="1"/>
        <rFont val="Aptos Narrow"/>
        <family val="2"/>
        <scheme val="minor"/>
      </rPr>
      <t xml:space="preserve">, display </t>
    </r>
    <r>
      <rPr>
        <sz val="10"/>
        <color theme="1"/>
        <rFont val="Arial Unicode MS"/>
      </rPr>
      <t>"Needs Attention"</t>
    </r>
    <r>
      <rPr>
        <sz val="11"/>
        <color theme="1"/>
        <rFont val="Aptos Narrow"/>
        <family val="2"/>
        <scheme val="minor"/>
      </rPr>
      <t xml:space="preserve">, otherwise </t>
    </r>
    <r>
      <rPr>
        <sz val="10"/>
        <color theme="1"/>
        <rFont val="Arial Unicode MS"/>
      </rPr>
      <t>"Normal"</t>
    </r>
    <r>
      <rPr>
        <sz val="11"/>
        <color theme="1"/>
        <rFont val="Aptos Narrow"/>
        <family val="2"/>
        <scheme val="minor"/>
      </rPr>
      <t>.</t>
    </r>
  </si>
  <si>
    <t>17. Active Employee</t>
  </si>
  <si>
    <r>
      <t xml:space="preserve">If </t>
    </r>
    <r>
      <rPr>
        <b/>
        <sz val="11"/>
        <color theme="1"/>
        <rFont val="Aptos Narrow"/>
        <family val="2"/>
        <scheme val="minor"/>
      </rPr>
      <t>Google Searches &gt;= 20 AND Bunk Days &lt;= 2</t>
    </r>
    <r>
      <rPr>
        <sz val="11"/>
        <color theme="1"/>
        <rFont val="Aptos Narrow"/>
        <family val="2"/>
        <scheme val="minor"/>
      </rPr>
      <t xml:space="preserve">, display </t>
    </r>
    <r>
      <rPr>
        <sz val="10"/>
        <color theme="1"/>
        <rFont val="Arial Unicode MS"/>
      </rPr>
      <t>"Active Employee"</t>
    </r>
    <r>
      <rPr>
        <sz val="11"/>
        <color theme="1"/>
        <rFont val="Aptos Narrow"/>
        <family val="2"/>
        <scheme val="minor"/>
      </rPr>
      <t xml:space="preserve">, otherwise </t>
    </r>
    <r>
      <rPr>
        <sz val="10"/>
        <color theme="1"/>
        <rFont val="Arial Unicode MS"/>
      </rPr>
      <t>"Inactive Employee"</t>
    </r>
    <r>
      <rPr>
        <sz val="11"/>
        <color theme="1"/>
        <rFont val="Aptos Narrow"/>
        <family val="2"/>
        <scheme val="minor"/>
      </rPr>
      <t>.</t>
    </r>
  </si>
  <si>
    <t>18. Happy Employee</t>
  </si>
  <si>
    <r>
      <t xml:space="preserve">If </t>
    </r>
    <r>
      <rPr>
        <b/>
        <sz val="11"/>
        <color theme="1"/>
        <rFont val="Aptos Narrow"/>
        <family val="2"/>
        <scheme val="minor"/>
      </rPr>
      <t>Mood = Happy AND Salary &gt;= 35,000</t>
    </r>
    <r>
      <rPr>
        <sz val="11"/>
        <color theme="1"/>
        <rFont val="Aptos Narrow"/>
        <family val="2"/>
        <scheme val="minor"/>
      </rPr>
      <t xml:space="preserve">, display </t>
    </r>
    <r>
      <rPr>
        <sz val="10"/>
        <color theme="1"/>
        <rFont val="Arial Unicode MS"/>
      </rPr>
      <t>"Happy High Earner"</t>
    </r>
    <r>
      <rPr>
        <sz val="11"/>
        <color theme="1"/>
        <rFont val="Aptos Narrow"/>
        <family val="2"/>
        <scheme val="minor"/>
      </rPr>
      <t xml:space="preserve">, otherwise </t>
    </r>
    <r>
      <rPr>
        <sz val="10"/>
        <color theme="1"/>
        <rFont val="Arial Unicode MS"/>
      </rPr>
      <t>"Normal Employee"</t>
    </r>
    <r>
      <rPr>
        <sz val="11"/>
        <color theme="1"/>
        <rFont val="Aptos Narrow"/>
        <family val="2"/>
        <scheme val="minor"/>
      </rPr>
      <t>.</t>
    </r>
  </si>
  <si>
    <t>19. Technical Employee</t>
  </si>
  <si>
    <r>
      <t xml:space="preserve">If </t>
    </r>
    <r>
      <rPr>
        <b/>
        <sz val="11"/>
        <color theme="1"/>
        <rFont val="Aptos Narrow"/>
        <family val="2"/>
        <scheme val="minor"/>
      </rPr>
      <t>Department = Python AND Salary &gt;= 30,000</t>
    </r>
    <r>
      <rPr>
        <sz val="11"/>
        <color theme="1"/>
        <rFont val="Aptos Narrow"/>
        <family val="2"/>
        <scheme val="minor"/>
      </rPr>
      <t xml:space="preserve">, display </t>
    </r>
    <r>
      <rPr>
        <sz val="10"/>
        <color theme="1"/>
        <rFont val="Arial Unicode MS"/>
      </rPr>
      <t>"Python Performer"</t>
    </r>
    <r>
      <rPr>
        <sz val="11"/>
        <color theme="1"/>
        <rFont val="Aptos Narrow"/>
        <family val="2"/>
        <scheme val="minor"/>
      </rPr>
      <t xml:space="preserve">, otherwise </t>
    </r>
    <r>
      <rPr>
        <sz val="10"/>
        <color theme="1"/>
        <rFont val="Arial Unicode MS"/>
      </rPr>
      <t>"Other"</t>
    </r>
    <r>
      <rPr>
        <sz val="11"/>
        <color theme="1"/>
        <rFont val="Aptos Narrow"/>
        <family val="2"/>
        <scheme val="minor"/>
      </rPr>
      <t>.</t>
    </r>
  </si>
  <si>
    <t>20. Pizza Fan</t>
  </si>
  <si>
    <r>
      <t xml:space="preserve">If </t>
    </r>
    <r>
      <rPr>
        <b/>
        <sz val="11"/>
        <color theme="1"/>
        <rFont val="Aptos Narrow"/>
        <family val="2"/>
        <scheme val="minor"/>
      </rPr>
      <t>Favourite Food = Pizza AND Mood = Happy</t>
    </r>
    <r>
      <rPr>
        <sz val="11"/>
        <color theme="1"/>
        <rFont val="Aptos Narrow"/>
        <family val="2"/>
        <scheme val="minor"/>
      </rPr>
      <t xml:space="preserve">, display </t>
    </r>
    <r>
      <rPr>
        <sz val="10"/>
        <color theme="1"/>
        <rFont val="Arial Unicode MS"/>
      </rPr>
      <t>"Pizza Fan"</t>
    </r>
    <r>
      <rPr>
        <sz val="11"/>
        <color theme="1"/>
        <rFont val="Aptos Narrow"/>
        <family val="2"/>
        <scheme val="minor"/>
      </rPr>
      <t xml:space="preserve">, otherwise </t>
    </r>
    <r>
      <rPr>
        <sz val="10"/>
        <color theme="1"/>
        <rFont val="Arial Unicode MS"/>
      </rPr>
      <t>"Not Pizza Fan"</t>
    </r>
    <r>
      <rPr>
        <sz val="11"/>
        <color theme="1"/>
        <rFont val="Aptos Narrow"/>
        <family val="2"/>
        <scheme val="minor"/>
      </rPr>
      <t>.</t>
    </r>
  </si>
  <si>
    <t>21. Responsible Employee</t>
  </si>
  <si>
    <r>
      <t xml:space="preserve">If </t>
    </r>
    <r>
      <rPr>
        <b/>
        <sz val="11"/>
        <color theme="1"/>
        <rFont val="Aptos Narrow"/>
        <family val="2"/>
        <scheme val="minor"/>
      </rPr>
      <t>Bunk Days &lt;= 2 AND Salary &gt;= 35,000</t>
    </r>
    <r>
      <rPr>
        <sz val="11"/>
        <color theme="1"/>
        <rFont val="Aptos Narrow"/>
        <family val="2"/>
        <scheme val="minor"/>
      </rPr>
      <t xml:space="preserve">, display </t>
    </r>
    <r>
      <rPr>
        <sz val="10"/>
        <color theme="1"/>
        <rFont val="Arial Unicode MS"/>
      </rPr>
      <t>"Responsible"</t>
    </r>
    <r>
      <rPr>
        <sz val="11"/>
        <color theme="1"/>
        <rFont val="Aptos Narrow"/>
        <family val="2"/>
        <scheme val="minor"/>
      </rPr>
      <t xml:space="preserve">, otherwise </t>
    </r>
    <r>
      <rPr>
        <sz val="10"/>
        <color theme="1"/>
        <rFont val="Arial Unicode MS"/>
      </rPr>
      <t>"Needs Improvement"</t>
    </r>
    <r>
      <rPr>
        <sz val="11"/>
        <color theme="1"/>
        <rFont val="Aptos Narrow"/>
        <family val="2"/>
        <scheme val="minor"/>
      </rPr>
      <t>.</t>
    </r>
  </si>
  <si>
    <t>22. Special Employee</t>
  </si>
  <si>
    <r>
      <t xml:space="preserve">If </t>
    </r>
    <r>
      <rPr>
        <b/>
        <sz val="11"/>
        <color theme="1"/>
        <rFont val="Aptos Narrow"/>
        <family val="2"/>
        <scheme val="minor"/>
      </rPr>
      <t>Salary &gt;= 50,000 OR Department = Python</t>
    </r>
    <r>
      <rPr>
        <sz val="11"/>
        <color theme="1"/>
        <rFont val="Aptos Narrow"/>
        <family val="2"/>
        <scheme val="minor"/>
      </rPr>
      <t xml:space="preserve">, display </t>
    </r>
    <r>
      <rPr>
        <sz val="10"/>
        <color theme="1"/>
        <rFont val="Arial Unicode MS"/>
      </rPr>
      <t>"Special Employee"</t>
    </r>
    <r>
      <rPr>
        <sz val="11"/>
        <color theme="1"/>
        <rFont val="Aptos Narrow"/>
        <family val="2"/>
        <scheme val="minor"/>
      </rPr>
      <t xml:space="preserve">, otherwise </t>
    </r>
    <r>
      <rPr>
        <sz val="10"/>
        <color theme="1"/>
        <rFont val="Arial Unicode MS"/>
      </rPr>
      <t>"Regular Employee"</t>
    </r>
    <r>
      <rPr>
        <sz val="11"/>
        <color theme="1"/>
        <rFont val="Aptos Narrow"/>
        <family val="2"/>
        <scheme val="minor"/>
      </rPr>
      <t>.</t>
    </r>
  </si>
  <si>
    <t>23. Coffee/Food Lover</t>
  </si>
  <si>
    <r>
      <t xml:space="preserve">If </t>
    </r>
    <r>
      <rPr>
        <b/>
        <sz val="11"/>
        <color theme="1"/>
        <rFont val="Aptos Narrow"/>
        <family val="2"/>
        <scheme val="minor"/>
      </rPr>
      <t>Coffee/Day &gt;= 5 OR Favourite Food = Pizza</t>
    </r>
    <r>
      <rPr>
        <sz val="11"/>
        <color theme="1"/>
        <rFont val="Aptos Narrow"/>
        <family val="2"/>
        <scheme val="minor"/>
      </rPr>
      <t xml:space="preserve">, display </t>
    </r>
    <r>
      <rPr>
        <sz val="10"/>
        <color theme="1"/>
        <rFont val="Arial Unicode MS"/>
      </rPr>
      <t>"Food &amp; Coffee Lover"</t>
    </r>
    <r>
      <rPr>
        <sz val="11"/>
        <color theme="1"/>
        <rFont val="Aptos Narrow"/>
        <family val="2"/>
        <scheme val="minor"/>
      </rPr>
      <t xml:space="preserve">, otherwise </t>
    </r>
    <r>
      <rPr>
        <sz val="10"/>
        <color theme="1"/>
        <rFont val="Arial Unicode MS"/>
      </rPr>
      <t>"Normal"</t>
    </r>
    <r>
      <rPr>
        <sz val="11"/>
        <color theme="1"/>
        <rFont val="Aptos Narrow"/>
        <family val="2"/>
        <scheme val="minor"/>
      </rPr>
      <t>.</t>
    </r>
  </si>
  <si>
    <t>24. Very Active Employee</t>
  </si>
  <si>
    <r>
      <t xml:space="preserve">If </t>
    </r>
    <r>
      <rPr>
        <b/>
        <sz val="11"/>
        <color theme="1"/>
        <rFont val="Aptos Narrow"/>
        <family val="2"/>
        <scheme val="minor"/>
      </rPr>
      <t>Google Searches &gt;= 30 OR Bunk Days = 0</t>
    </r>
    <r>
      <rPr>
        <sz val="11"/>
        <color theme="1"/>
        <rFont val="Aptos Narrow"/>
        <family val="2"/>
        <scheme val="minor"/>
      </rPr>
      <t xml:space="preserve">, display </t>
    </r>
    <r>
      <rPr>
        <sz val="10"/>
        <color theme="1"/>
        <rFont val="Arial Unicode MS"/>
      </rPr>
      <t>"Very Active"</t>
    </r>
    <r>
      <rPr>
        <sz val="11"/>
        <color theme="1"/>
        <rFont val="Aptos Narrow"/>
        <family val="2"/>
        <scheme val="minor"/>
      </rPr>
      <t xml:space="preserve">, otherwise </t>
    </r>
    <r>
      <rPr>
        <sz val="10"/>
        <color theme="1"/>
        <rFont val="Arial Unicode MS"/>
      </rPr>
      <t>"Normal"</t>
    </r>
    <r>
      <rPr>
        <sz val="11"/>
        <color theme="1"/>
        <rFont val="Aptos Narrow"/>
        <family val="2"/>
        <scheme val="minor"/>
      </rPr>
      <t>.</t>
    </r>
  </si>
  <si>
    <t>25. Good Mood</t>
  </si>
  <si>
    <r>
      <t xml:space="preserve">If </t>
    </r>
    <r>
      <rPr>
        <b/>
        <sz val="11"/>
        <color theme="1"/>
        <rFont val="Aptos Narrow"/>
        <family val="2"/>
        <scheme val="minor"/>
      </rPr>
      <t>Mood = Happy OR Mood = Excited</t>
    </r>
    <r>
      <rPr>
        <sz val="11"/>
        <color theme="1"/>
        <rFont val="Aptos Narrow"/>
        <family val="2"/>
        <scheme val="minor"/>
      </rPr>
      <t xml:space="preserve">, display </t>
    </r>
    <r>
      <rPr>
        <sz val="10"/>
        <color theme="1"/>
        <rFont val="Arial Unicode MS"/>
      </rPr>
      <t>"Good Mood"</t>
    </r>
    <r>
      <rPr>
        <sz val="11"/>
        <color theme="1"/>
        <rFont val="Aptos Narrow"/>
        <family val="2"/>
        <scheme val="minor"/>
      </rPr>
      <t xml:space="preserve">, otherwise </t>
    </r>
    <r>
      <rPr>
        <sz val="10"/>
        <color theme="1"/>
        <rFont val="Arial Unicode MS"/>
      </rPr>
      <t>"Other Mood"</t>
    </r>
    <r>
      <rPr>
        <sz val="11"/>
        <color theme="1"/>
        <rFont val="Aptos Narrow"/>
        <family val="2"/>
        <scheme val="minor"/>
      </rPr>
      <t>.</t>
    </r>
  </si>
  <si>
    <t>26. Technical Department</t>
  </si>
  <si>
    <r>
      <t xml:space="preserve">If </t>
    </r>
    <r>
      <rPr>
        <b/>
        <sz val="11"/>
        <color theme="1"/>
        <rFont val="Aptos Narrow"/>
        <family val="2"/>
        <scheme val="minor"/>
      </rPr>
      <t>Department = Python OR Department = SQL</t>
    </r>
    <r>
      <rPr>
        <sz val="11"/>
        <color theme="1"/>
        <rFont val="Aptos Narrow"/>
        <family val="2"/>
        <scheme val="minor"/>
      </rPr>
      <t xml:space="preserve">, display </t>
    </r>
    <r>
      <rPr>
        <sz val="10"/>
        <color theme="1"/>
        <rFont val="Arial Unicode MS"/>
      </rPr>
      <t>"Technical"</t>
    </r>
    <r>
      <rPr>
        <sz val="11"/>
        <color theme="1"/>
        <rFont val="Aptos Narrow"/>
        <family val="2"/>
        <scheme val="minor"/>
      </rPr>
      <t xml:space="preserve"> otherwise </t>
    </r>
    <r>
      <rPr>
        <sz val="10"/>
        <color theme="1"/>
        <rFont val="Arial Unicode MS"/>
      </rPr>
      <t>"Other"</t>
    </r>
    <r>
      <rPr>
        <sz val="11"/>
        <color theme="1"/>
        <rFont val="Aptos Narrow"/>
        <family val="2"/>
        <scheme val="minor"/>
      </rPr>
      <t>.</t>
    </r>
  </si>
  <si>
    <t>27. High Performer</t>
  </si>
  <si>
    <r>
      <t xml:space="preserve">If </t>
    </r>
    <r>
      <rPr>
        <b/>
        <sz val="11"/>
        <color theme="1"/>
        <rFont val="Aptos Narrow"/>
        <family val="2"/>
        <scheme val="minor"/>
      </rPr>
      <t>Salary &gt;= 50,000 OR Google Searches &gt;= 30</t>
    </r>
    <r>
      <rPr>
        <sz val="11"/>
        <color theme="1"/>
        <rFont val="Aptos Narrow"/>
        <family val="2"/>
        <scheme val="minor"/>
      </rPr>
      <t xml:space="preserve">, display </t>
    </r>
    <r>
      <rPr>
        <sz val="10"/>
        <color theme="1"/>
        <rFont val="Arial Unicode MS"/>
      </rPr>
      <t>"High Performer"</t>
    </r>
    <r>
      <rPr>
        <sz val="11"/>
        <color theme="1"/>
        <rFont val="Aptos Narrow"/>
        <family val="2"/>
        <scheme val="minor"/>
      </rPr>
      <t xml:space="preserve">, otherwise </t>
    </r>
    <r>
      <rPr>
        <sz val="10"/>
        <color theme="1"/>
        <rFont val="Arial Unicode MS"/>
      </rPr>
      <t>"Regular Performer"</t>
    </r>
    <r>
      <rPr>
        <sz val="11"/>
        <color theme="1"/>
        <rFont val="Aptos Narrow"/>
        <family val="2"/>
        <scheme val="minor"/>
      </rPr>
      <t>.</t>
    </r>
  </si>
  <si>
    <t>28. Reward Eligibility</t>
  </si>
  <si>
    <r>
      <t xml:space="preserve">If </t>
    </r>
    <r>
      <rPr>
        <b/>
        <sz val="11"/>
        <color theme="1"/>
        <rFont val="Aptos Narrow"/>
        <family val="2"/>
        <scheme val="minor"/>
      </rPr>
      <t>Salary &gt;= 40,000 OR Bunk Days = 0 OR Mood = Happy</t>
    </r>
    <r>
      <rPr>
        <sz val="11"/>
        <color theme="1"/>
        <rFont val="Aptos Narrow"/>
        <family val="2"/>
        <scheme val="minor"/>
      </rPr>
      <t xml:space="preserve">, display </t>
    </r>
    <r>
      <rPr>
        <sz val="10"/>
        <color theme="1"/>
        <rFont val="Arial Unicode MS"/>
      </rPr>
      <t>"Reward"</t>
    </r>
    <r>
      <rPr>
        <sz val="11"/>
        <color theme="1"/>
        <rFont val="Aptos Narrow"/>
        <family val="2"/>
        <scheme val="minor"/>
      </rPr>
      <t xml:space="preserve"> otherwise </t>
    </r>
    <r>
      <rPr>
        <sz val="10"/>
        <color theme="1"/>
        <rFont val="Arial Unicode MS"/>
      </rPr>
      <t>"No Reward"</t>
    </r>
    <r>
      <rPr>
        <sz val="11"/>
        <color theme="1"/>
        <rFont val="Aptos Narrow"/>
        <family val="2"/>
        <scheme val="minor"/>
      </rPr>
      <t>.</t>
    </r>
  </si>
  <si>
    <t>Salary Status</t>
  </si>
  <si>
    <t>Coffee Status</t>
  </si>
  <si>
    <t>Attendance status</t>
  </si>
  <si>
    <t>Search Actvty</t>
  </si>
  <si>
    <t>Mood check</t>
  </si>
  <si>
    <t>Food check</t>
  </si>
  <si>
    <t>Department Check</t>
  </si>
  <si>
    <t>Salary Category</t>
  </si>
  <si>
    <t>Coffee Category</t>
  </si>
  <si>
    <t>Bun Category</t>
  </si>
  <si>
    <t>Google Search Category</t>
  </si>
  <si>
    <t>Employee Grade</t>
  </si>
  <si>
    <t>Employee Activity</t>
  </si>
  <si>
    <t>Coffee Rating</t>
  </si>
  <si>
    <t>Employee Eligibility</t>
  </si>
  <si>
    <t>Employee Attention</t>
  </si>
  <si>
    <t>Active Employee</t>
  </si>
  <si>
    <t>Happy Employee</t>
  </si>
  <si>
    <t>Technical Employee</t>
  </si>
  <si>
    <t>Pizza Fan</t>
  </si>
  <si>
    <t>Responsible Employee</t>
  </si>
  <si>
    <t>Special Employee</t>
  </si>
  <si>
    <t>Coffee/Food Lover</t>
  </si>
  <si>
    <t>Very Active Employee</t>
  </si>
  <si>
    <t>Good Mood</t>
  </si>
  <si>
    <t>Technical Department</t>
  </si>
  <si>
    <t>High Performer</t>
  </si>
  <si>
    <t>Reward Eligibility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</si>
</sst>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0" fillId="2" borderId="0" xfId="0" applyFill="1" applyAlignment="1">
      <alignment wrapText="1"/>
    </xf>
    <xf numFmtId="0" fontId="0" fillId="2" borderId="0" xfId="0" applyFill="1" applyAlignment="1">
      <alignment vertical="center"/>
    </xf>
    <xf numFmtId="0" fontId="0" fillId="2" borderId="0" xfId="0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Types" Target="richData/rdRichValueTypes.xml"/><Relationship Id="rId3" Type="http://schemas.openxmlformats.org/officeDocument/2006/relationships/styles" Target="styles.xml"/><Relationship Id="rId7" Type="http://schemas.microsoft.com/office/2017/06/relationships/rdRichValueStructure" Target="richData/rdrichvaluestructur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alcChain" Target="calcChain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0</v>
    <v>3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19E4B-5A9B-49BA-AEBB-2E825F019CE2}">
  <dimension ref="A1:AU129"/>
  <sheetViews>
    <sheetView tabSelected="1" topLeftCell="AA1" zoomScale="102" zoomScaleNormal="102" workbookViewId="0">
      <selection activeCell="AK1" sqref="AK1"/>
    </sheetView>
  </sheetViews>
  <sheetFormatPr defaultRowHeight="14.4"/>
  <cols>
    <col min="1" max="1" width="26" customWidth="1"/>
    <col min="2" max="2" width="29.109375" customWidth="1"/>
    <col min="3" max="3" width="23.88671875" customWidth="1"/>
    <col min="4" max="4" width="23.5546875" customWidth="1"/>
    <col min="5" max="5" width="22.77734375" customWidth="1"/>
    <col min="6" max="6" width="20.33203125" customWidth="1"/>
    <col min="7" max="7" width="22.33203125" customWidth="1"/>
    <col min="8" max="8" width="31.44140625" customWidth="1"/>
    <col min="10" max="10" width="17" customWidth="1"/>
    <col min="11" max="11" width="19.88671875" customWidth="1"/>
    <col min="12" max="16" width="16.88671875" customWidth="1"/>
    <col min="17" max="17" width="20.6640625" customWidth="1"/>
    <col min="18" max="45" width="16.88671875" customWidth="1"/>
    <col min="47" max="47" width="79.5546875" customWidth="1"/>
  </cols>
  <sheetData>
    <row r="1" spans="1:47" ht="28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6" t="s">
        <v>142</v>
      </c>
      <c r="K1" s="6" t="s">
        <v>143</v>
      </c>
      <c r="L1" s="6" t="s">
        <v>144</v>
      </c>
      <c r="M1" s="6" t="s">
        <v>145</v>
      </c>
      <c r="N1" s="6" t="s">
        <v>148</v>
      </c>
      <c r="O1" s="6" t="s">
        <v>147</v>
      </c>
      <c r="P1" s="6" t="s">
        <v>146</v>
      </c>
      <c r="Q1" s="6" t="s">
        <v>149</v>
      </c>
      <c r="R1" s="6" t="s">
        <v>150</v>
      </c>
      <c r="S1" s="6" t="s">
        <v>151</v>
      </c>
      <c r="T1" s="6" t="s">
        <v>152</v>
      </c>
      <c r="U1" s="6" t="s">
        <v>153</v>
      </c>
      <c r="V1" s="6" t="s">
        <v>154</v>
      </c>
      <c r="W1" s="6" t="s">
        <v>155</v>
      </c>
      <c r="X1" s="6" t="s">
        <v>156</v>
      </c>
      <c r="Y1" s="6" t="s">
        <v>157</v>
      </c>
      <c r="Z1" s="6" t="s">
        <v>158</v>
      </c>
      <c r="AA1" s="6" t="s">
        <v>159</v>
      </c>
      <c r="AB1" s="6" t="s">
        <v>160</v>
      </c>
      <c r="AC1" s="6" t="s">
        <v>161</v>
      </c>
      <c r="AD1" s="6" t="s">
        <v>162</v>
      </c>
      <c r="AE1" s="10" t="s">
        <v>163</v>
      </c>
      <c r="AF1" s="10" t="s">
        <v>164</v>
      </c>
      <c r="AG1" s="8" t="s">
        <v>165</v>
      </c>
      <c r="AH1" s="9" t="s">
        <v>166</v>
      </c>
      <c r="AI1" s="8" t="s">
        <v>167</v>
      </c>
      <c r="AJ1" s="10" t="s">
        <v>168</v>
      </c>
      <c r="AK1" s="9" t="s">
        <v>169</v>
      </c>
      <c r="AL1" s="6"/>
      <c r="AM1" s="6"/>
      <c r="AN1" s="6"/>
      <c r="AO1" s="6"/>
      <c r="AP1" s="6"/>
      <c r="AQ1" s="6"/>
      <c r="AR1" s="6"/>
      <c r="AS1" s="6"/>
      <c r="AU1" s="3" t="s">
        <v>50</v>
      </c>
    </row>
    <row r="2" spans="1:47">
      <c r="A2" s="1" t="s">
        <v>9</v>
      </c>
      <c r="B2" s="1" t="s">
        <v>10</v>
      </c>
      <c r="C2" s="1" t="s">
        <v>11</v>
      </c>
      <c r="D2" s="1">
        <v>30000</v>
      </c>
      <c r="E2" s="1">
        <v>3</v>
      </c>
      <c r="F2" s="1">
        <v>2</v>
      </c>
      <c r="G2" s="1">
        <v>15</v>
      </c>
      <c r="H2" s="1" t="s">
        <v>12</v>
      </c>
      <c r="I2" s="1" t="s">
        <v>13</v>
      </c>
      <c r="J2" s="7" t="str" cm="1">
        <f t="array" ref="J2:J16">IF(D2:D16&gt;=40000,"High Salary","Normal salary")</f>
        <v>Normal salary</v>
      </c>
      <c r="K2" s="7" t="str" cm="1">
        <f t="array" ref="K2:K16">IF(E2:E16&gt;=4,"Heavy Coffee Driner","Normal ")</f>
        <v xml:space="preserve">Normal </v>
      </c>
      <c r="L2" s="7" t="str" cm="1">
        <f t="array" ref="L2:L16">IF(F2:F16&gt;=3,"Poor Attendance","Good Attendance")</f>
        <v>Good Attendance</v>
      </c>
      <c r="M2" s="7" t="str" cm="1">
        <f t="array" ref="M2:M16">IF(G2:G16&gt;=20,"High Search","Normal  search")</f>
        <v>Normal  search</v>
      </c>
      <c r="N2" s="7" t="str" cm="1">
        <f t="array" ref="N2:N16">IF(C2:C16="Python","Pyhton Employee","Other Department ")</f>
        <v>Pyhton Employee</v>
      </c>
      <c r="O2" s="7" t="str" cm="1">
        <f t="array" ref="O2:O16">IF(H2:H16&gt;="Pizza","Pizza lower","Other Food")</f>
        <v>Pizza lower</v>
      </c>
      <c r="P2" s="7" t="str" cm="1">
        <f t="array" ref="P2:P16">IF(I2:I16&gt;="Happy","Good Mood","Other Mood ")</f>
        <v>Good Mood</v>
      </c>
      <c r="Q2" s="7" t="str" cm="1">
        <f t="array" ref="Q2">_xlfn.IFS(D2&gt;=50000, "Excellent", D2&gt;=40000, "Very Good", D2&gt;=30000, "Good", D2&lt;30000, "Low")</f>
        <v>Good</v>
      </c>
      <c r="R2" s="7" t="str" cm="1">
        <f t="array" ref="R2">_xlfn.IFS(E2&gt;=5, "Heavy", E2&gt;=3, "Moderate", E2&gt;=1, "Normal", E2=0, "No Coffee")</f>
        <v>Moderate</v>
      </c>
      <c r="S2" s="7" t="str" cm="1">
        <f t="array" ref="S2">_xlfn.IFS(F3&gt;=5, "Very High", F3&gt;=3, "high", F3&gt;=1, "Moderate", F3=0, "No Bunk")</f>
        <v>Moderate</v>
      </c>
      <c r="T2" s="7" t="str" cm="1">
        <f t="array" ref="T2">_xlfn.IFS(G2&gt;=30, "Very Hgh", G2&gt;=20, "Hgh", G2&gt;=10, "Moderate", G2&lt;10, "Low")</f>
        <v>Moderate</v>
      </c>
      <c r="U2" s="7" t="str" cm="1">
        <f t="array" ref="U2">_xlfn.IFS(D2&gt;=50000, "A", D2&gt;=40000, "B", D2&gt;=30000, "C", D2&lt;30000, "D")</f>
        <v>C</v>
      </c>
      <c r="V2" s="7" t="str" cm="1">
        <f t="array" ref="V2">_xlfn.IFS(G2&gt;=30, "Very Active", G2&gt;=20, "Active", G2&gt;=10, "Moderate", G2&lt;10, "Less Active")</f>
        <v>Moderate</v>
      </c>
      <c r="W2" s="7" t="str" cm="1">
        <f t="array" ref="W2">_xlfn.IFS(E2&gt;=5, "Coffee Addict", E2&gt;=4, "Heavy Drinker", E2&gt;=2, "Regular Drinker", E2&lt;2, "light drinker")</f>
        <v>Regular Drinker</v>
      </c>
      <c r="X2" s="7" t="str">
        <f>IF(AND(D2&gt;=35000, C2="Python"),"Elgble","Not Elgble")</f>
        <v>Not Elgble</v>
      </c>
      <c r="Y2" s="7" t="str">
        <f>IF(AND(E2&gt;=4, F2&gt;=3),"Needs Attenton","Normal")</f>
        <v>Normal</v>
      </c>
      <c r="Z2" s="7" t="str">
        <f>IF(AND(G2&gt;=20, F2&lt;=2),"Active Employee","inactive")</f>
        <v>inactive</v>
      </c>
      <c r="AA2" s="7" t="str">
        <f>IF(AND(I2="Happy", D2&lt;=35000),"Happy High Earner","Normal Employee")</f>
        <v>Happy High Earner</v>
      </c>
      <c r="AB2" s="7" t="str">
        <f>IF(AND(C2="Python", D2&gt;=30000), "Python Performer", "Other")</f>
        <v>Python Performer</v>
      </c>
      <c r="AC2" s="7" t="str">
        <f>IF(AND(H2="Pizza", I2="Happy"), "Pizza Fan", "Not Pizza Fan")</f>
        <v>Pizza Fan</v>
      </c>
      <c r="AD2" s="7" t="str">
        <f>IF(AND(E2&lt;=2, D2&gt;=35000), "Responsible", "Needs Improvement")</f>
        <v>Needs Improvement</v>
      </c>
      <c r="AE2" s="7" t="str">
        <f>IF(OR(D2&gt;=50000, C2="Python"), "Special Employee", "Regular Employee")</f>
        <v>Special Employee</v>
      </c>
      <c r="AF2" s="7" t="str">
        <f>IF(OR(F2&gt;=5, H2="Pizza"), "Food &amp; Coffee Lover", "Normal")</f>
        <v>Food &amp; Coffee Lover</v>
      </c>
      <c r="AG2" s="7" t="str">
        <f>IF(OR(G2&gt;=30, E2=0), "Very Active", "Normal")</f>
        <v>Normal</v>
      </c>
      <c r="AH2" s="7" t="str">
        <f>IF(OR(I2="Happy", I2="Excited"), "Good Mood", "Other Mood")</f>
        <v>Good Mood</v>
      </c>
      <c r="AI2" s="7" t="str">
        <f>IF(OR(C2="Python", C2="SQL"), "Technical", "Other")</f>
        <v>Technical</v>
      </c>
      <c r="AJ2" s="7" t="str">
        <f>IF(OR(D2&gt;=50000, G2&gt;=30), "High Performer", "Regular Performer")</f>
        <v>Regular Performer</v>
      </c>
      <c r="AK2" s="7" t="str">
        <f>IF(OR(D2&gt;=40000, E2=0, I2="Happy"), "Reward", "No Reward")</f>
        <v>Reward</v>
      </c>
      <c r="AL2" s="7"/>
      <c r="AM2" s="7"/>
      <c r="AN2" s="7"/>
      <c r="AO2" s="7"/>
      <c r="AP2" s="7"/>
      <c r="AQ2" s="7"/>
      <c r="AR2" s="7"/>
      <c r="AS2" s="7"/>
      <c r="AU2" t="s">
        <v>51</v>
      </c>
    </row>
    <row r="3" spans="1:47">
      <c r="A3" s="1" t="s">
        <v>14</v>
      </c>
      <c r="B3" s="1" t="s">
        <v>15</v>
      </c>
      <c r="C3" s="1" t="s">
        <v>16</v>
      </c>
      <c r="D3" s="1">
        <v>40000</v>
      </c>
      <c r="E3" s="1">
        <v>5</v>
      </c>
      <c r="F3" s="1">
        <v>1</v>
      </c>
      <c r="G3" s="1">
        <v>10</v>
      </c>
      <c r="H3" s="1" t="s">
        <v>17</v>
      </c>
      <c r="I3" s="1" t="s">
        <v>18</v>
      </c>
      <c r="J3" s="7" t="str">
        <v>High Salary</v>
      </c>
      <c r="K3" s="7" t="str">
        <v>Heavy Coffee Driner</v>
      </c>
      <c r="L3" s="7" t="str">
        <v>Good Attendance</v>
      </c>
      <c r="M3" s="7" t="str">
        <v>Normal  search</v>
      </c>
      <c r="N3" s="7" t="str">
        <v xml:space="preserve">Other Department </v>
      </c>
      <c r="O3" s="7" t="str">
        <v>Other Food</v>
      </c>
      <c r="P3" s="7" t="str">
        <v xml:space="preserve">Other Mood </v>
      </c>
      <c r="Q3" s="7" t="str" cm="1">
        <f t="array" ref="Q3">_xlfn.IFS(D3&gt;=50000, "Excellent", D3&gt;=40000, "Very Good", D3&gt;=30000, "Good", D3&lt;30000, "Low")</f>
        <v>Very Good</v>
      </c>
      <c r="R3" s="7" t="str" cm="1">
        <f t="array" ref="R3">_xlfn.IFS(E3&gt;=5, "Heavy", E3&gt;=3, "Moderate", E3&gt;=1, "Normal", E3=0, "No Coffee")</f>
        <v>Heavy</v>
      </c>
      <c r="S3" s="7" t="str" cm="1">
        <f t="array" ref="S3">_xlfn.IFS(F4&gt;=5, "Very High", F4&gt;=3, "high", F4&gt;=1, "Moderate", F4=0, "No Bunk")</f>
        <v>high</v>
      </c>
      <c r="T3" s="7" t="str" cm="1">
        <f t="array" ref="T3">_xlfn.IFS(G3&gt;=30, "Very Hgh", G3&gt;=20, "Hgh", G3&gt;=10, "Moderate", G3&lt;10, "Low")</f>
        <v>Moderate</v>
      </c>
      <c r="U3" s="7" t="str" cm="1">
        <f t="array" ref="U3">_xlfn.IFS(D3&gt;=50000, "A", D3&gt;=40000, "B", D3&gt;=30000, "C", D3&lt;30000, "D")</f>
        <v>B</v>
      </c>
      <c r="V3" s="7" t="str" cm="1">
        <f t="array" ref="V3">_xlfn.IFS(G3&gt;=30, "Very Active", G3&gt;=20, "Active", G3&gt;=10, "Moderate", G3&lt;10, "Less Active")</f>
        <v>Moderate</v>
      </c>
      <c r="W3" s="7" t="str" cm="1">
        <f t="array" ref="W3">_xlfn.IFS(E3&gt;=5, "Coffee Addict", E3&gt;=4, "Heavy Drinker", E3&gt;=2, "Regular Drinker", E3&lt;2, "light drinker")</f>
        <v>Coffee Addict</v>
      </c>
      <c r="X3" s="7" t="str">
        <f t="shared" ref="X3:X16" si="0">IF(AND(D3&gt;=35000, C3="Python"),"Elgble","Not Elgble")</f>
        <v>Not Elgble</v>
      </c>
      <c r="Y3" s="7" t="str">
        <f t="shared" ref="Y3:Y16" si="1">IF(AND(E3&gt;=4, F3&gt;=3),"Needs Attenton","Normal")</f>
        <v>Normal</v>
      </c>
      <c r="Z3" s="7" t="str">
        <f t="shared" ref="Z3:Z16" si="2">IF(AND(G3&gt;=20, F3&lt;=2),"Active Employee","inactive")</f>
        <v>inactive</v>
      </c>
      <c r="AA3" s="7" t="str">
        <f t="shared" ref="AA3:AA16" si="3">IF(AND(I3="Happy", D3&lt;=35000),"Happy High Earner","Normal Employee")</f>
        <v>Normal Employee</v>
      </c>
      <c r="AB3" s="7" t="str">
        <f t="shared" ref="AB3:AB16" si="4">IF(AND(C3="Python", D3&gt;=30000), "Python Performer", "Other")</f>
        <v>Other</v>
      </c>
      <c r="AC3" s="7" t="str">
        <f t="shared" ref="AC3:AC16" si="5">IF(AND(H3="Pizza", I3="Happy"), "Pizza Fan", "Not Pizza Fan")</f>
        <v>Not Pizza Fan</v>
      </c>
      <c r="AD3" s="7" t="str">
        <f t="shared" ref="AD3:AD16" si="6">IF(AND(E3&lt;=2, D3&gt;=35000), "Responsible", "Needs Improvement")</f>
        <v>Needs Improvement</v>
      </c>
      <c r="AE3" s="7" t="str">
        <f t="shared" ref="AE3:AE16" si="7">IF(OR(D3&gt;=50000, C3="Python"), "Special Employee", "Regular Employee")</f>
        <v>Regular Employee</v>
      </c>
      <c r="AF3" s="7" t="str">
        <f t="shared" ref="AF3:AF16" si="8">IF(OR(F3&gt;=5, H3="Pizza"), "Food &amp; Coffee Lover", "Normal")</f>
        <v>Normal</v>
      </c>
      <c r="AG3" s="7" t="str">
        <f t="shared" ref="AG3:AG16" si="9">IF(OR(G3&gt;=30, E3=0), "Very Active", "Normal")</f>
        <v>Normal</v>
      </c>
      <c r="AH3" s="7" t="str">
        <f t="shared" ref="AH3:AH16" si="10">IF(OR(I3="Happy", I3="Excited"), "Good Mood", "Other Mood")</f>
        <v>Good Mood</v>
      </c>
      <c r="AI3" s="7" t="str">
        <f t="shared" ref="AI3:AI16" si="11">IF(OR(C3="Python", C3="SQL"), "Technical", "Other")</f>
        <v>Other</v>
      </c>
      <c r="AJ3" s="7" t="str">
        <f t="shared" ref="AJ3:AJ16" si="12">IF(OR(D3&gt;=50000, G3&gt;=30), "High Performer", "Regular Performer")</f>
        <v>Regular Performer</v>
      </c>
      <c r="AK3" s="7" t="str">
        <f t="shared" ref="AK3:AK16" si="13">IF(OR(D3&gt;=40000, E3=0, I3="Happy"), "Reward", "No Reward")</f>
        <v>Reward</v>
      </c>
      <c r="AL3" s="7"/>
      <c r="AM3" s="7"/>
      <c r="AN3" s="7"/>
      <c r="AO3" s="7"/>
      <c r="AP3" s="7"/>
      <c r="AQ3" s="7"/>
      <c r="AR3" s="7"/>
      <c r="AS3" s="7"/>
      <c r="AU3" t="e" cm="1" vm="1">
        <f t="array" aca="1" ref="AU3" ca="1">IF(D:D&gt;=40000,"High Salary","Normal salary")</f>
        <v>#VALUE!</v>
      </c>
    </row>
    <row r="4" spans="1:47">
      <c r="A4" s="1" t="s">
        <v>19</v>
      </c>
      <c r="B4" s="1" t="s">
        <v>20</v>
      </c>
      <c r="C4" s="1" t="s">
        <v>21</v>
      </c>
      <c r="D4" s="1">
        <v>35000</v>
      </c>
      <c r="E4" s="1">
        <v>2</v>
      </c>
      <c r="F4" s="1">
        <v>4</v>
      </c>
      <c r="G4" s="1">
        <v>25</v>
      </c>
      <c r="H4" s="1" t="s">
        <v>22</v>
      </c>
      <c r="I4" s="1" t="s">
        <v>23</v>
      </c>
      <c r="J4" s="7" t="str">
        <v>Normal salary</v>
      </c>
      <c r="K4" s="7" t="str">
        <v xml:space="preserve">Normal </v>
      </c>
      <c r="L4" s="7" t="str">
        <v>Poor Attendance</v>
      </c>
      <c r="M4" s="7" t="str">
        <v>High Search</v>
      </c>
      <c r="N4" s="7" t="str">
        <v xml:space="preserve">Other Department </v>
      </c>
      <c r="O4" s="7" t="str">
        <v>Other Food</v>
      </c>
      <c r="P4" s="7" t="str">
        <v>Good Mood</v>
      </c>
      <c r="Q4" s="7" t="str" cm="1">
        <f t="array" ref="Q4">_xlfn.IFS(D4&gt;=50000, "Excellent", D4&gt;=40000, "Very Good", D4&gt;=30000, "Good", D4&lt;30000, "Low")</f>
        <v>Good</v>
      </c>
      <c r="R4" s="7" t="str" cm="1">
        <f t="array" ref="R4">_xlfn.IFS(E4&gt;=5, "Heavy", E4&gt;=3, "Moderate", E4&gt;=1, "Normal", E4=0, "No Coffee")</f>
        <v>Normal</v>
      </c>
      <c r="S4" s="7" t="str" cm="1">
        <f t="array" ref="S4">_xlfn.IFS(F5&gt;=5, "Very High", F5&gt;=3, "high", F5&gt;=1, "Moderate", F5=0, "No Bunk")</f>
        <v>high</v>
      </c>
      <c r="T4" s="7" t="str" cm="1">
        <f t="array" ref="T4">_xlfn.IFS(G4&gt;=30, "Very Hgh", G4&gt;=20, "Hgh", G4&gt;=10, "Moderate", G4&lt;10, "Low")</f>
        <v>Hgh</v>
      </c>
      <c r="U4" s="7" t="str" cm="1">
        <f t="array" ref="U4">_xlfn.IFS(D4&gt;=50000, "A", D4&gt;=40000, "B", D4&gt;=30000, "C", D4&lt;30000, "D")</f>
        <v>C</v>
      </c>
      <c r="V4" s="7" t="str" cm="1">
        <f t="array" ref="V4">_xlfn.IFS(G4&gt;=30, "Very Active", G4&gt;=20, "Active", G4&gt;=10, "Moderate", G4&lt;10, "Less Active")</f>
        <v>Active</v>
      </c>
      <c r="W4" s="7" t="str" cm="1">
        <f t="array" ref="W4">_xlfn.IFS(E4&gt;=5, "Coffee Addict", E4&gt;=4, "Heavy Drinker", E4&gt;=2, "Regular Drinker", E4&lt;2, "light drinker")</f>
        <v>Regular Drinker</v>
      </c>
      <c r="X4" s="7" t="str">
        <f t="shared" si="0"/>
        <v>Not Elgble</v>
      </c>
      <c r="Y4" s="7" t="str">
        <f t="shared" si="1"/>
        <v>Normal</v>
      </c>
      <c r="Z4" s="7" t="str">
        <f t="shared" si="2"/>
        <v>inactive</v>
      </c>
      <c r="AA4" s="7" t="str">
        <f t="shared" si="3"/>
        <v>Normal Employee</v>
      </c>
      <c r="AB4" s="7" t="str">
        <f t="shared" si="4"/>
        <v>Other</v>
      </c>
      <c r="AC4" s="7" t="str">
        <f t="shared" si="5"/>
        <v>Not Pizza Fan</v>
      </c>
      <c r="AD4" s="7" t="str">
        <f t="shared" si="6"/>
        <v>Responsible</v>
      </c>
      <c r="AE4" s="7" t="str">
        <f t="shared" si="7"/>
        <v>Regular Employee</v>
      </c>
      <c r="AF4" s="7" t="str">
        <f t="shared" si="8"/>
        <v>Normal</v>
      </c>
      <c r="AG4" s="7" t="str">
        <f t="shared" si="9"/>
        <v>Normal</v>
      </c>
      <c r="AH4" s="7" t="str">
        <f t="shared" si="10"/>
        <v>Other Mood</v>
      </c>
      <c r="AI4" s="7" t="str">
        <f t="shared" si="11"/>
        <v>Technical</v>
      </c>
      <c r="AJ4" s="7" t="str">
        <f t="shared" si="12"/>
        <v>Regular Performer</v>
      </c>
      <c r="AK4" s="7" t="str">
        <f t="shared" si="13"/>
        <v>No Reward</v>
      </c>
      <c r="AL4" s="7"/>
      <c r="AM4" s="7"/>
      <c r="AN4" s="7"/>
      <c r="AO4" s="7"/>
      <c r="AP4" s="7"/>
      <c r="AQ4" s="7"/>
      <c r="AR4" s="7"/>
      <c r="AS4" s="7"/>
      <c r="AU4" s="3" t="s">
        <v>52</v>
      </c>
    </row>
    <row r="5" spans="1:47">
      <c r="A5" s="1" t="s">
        <v>24</v>
      </c>
      <c r="B5" s="1" t="s">
        <v>25</v>
      </c>
      <c r="C5" s="1" t="s">
        <v>11</v>
      </c>
      <c r="D5" s="1">
        <v>28000</v>
      </c>
      <c r="E5" s="1">
        <v>4</v>
      </c>
      <c r="F5" s="1">
        <v>3</v>
      </c>
      <c r="G5" s="1">
        <v>8</v>
      </c>
      <c r="H5" s="1" t="s">
        <v>12</v>
      </c>
      <c r="I5" s="1" t="s">
        <v>13</v>
      </c>
      <c r="J5" s="7" t="str">
        <v>Normal salary</v>
      </c>
      <c r="K5" s="7" t="str">
        <v>Heavy Coffee Driner</v>
      </c>
      <c r="L5" s="7" t="str">
        <v>Poor Attendance</v>
      </c>
      <c r="M5" s="7" t="str">
        <v>Normal  search</v>
      </c>
      <c r="N5" s="7" t="str">
        <v>Pyhton Employee</v>
      </c>
      <c r="O5" s="7" t="str">
        <v>Pizza lower</v>
      </c>
      <c r="P5" s="7" t="str">
        <v>Good Mood</v>
      </c>
      <c r="Q5" s="7" t="str" cm="1">
        <f t="array" ref="Q5">_xlfn.IFS(D5&gt;=50000, "Excellent", D5&gt;=40000, "Very Good", D5&gt;=30000, "Good", D5&lt;30000, "Low")</f>
        <v>Low</v>
      </c>
      <c r="R5" s="7" t="str" cm="1">
        <f t="array" ref="R5">_xlfn.IFS(E5&gt;=5, "Heavy", E5&gt;=3, "Moderate", E5&gt;=1, "Normal", E5=0, "No Coffee")</f>
        <v>Moderate</v>
      </c>
      <c r="S5" s="7" t="str" cm="1">
        <f t="array" ref="S5">_xlfn.IFS(F6&gt;=5, "Very High", F6&gt;=3, "high", F6&gt;=1, "Moderate", F6=0, "No Bunk")</f>
        <v>No Bunk</v>
      </c>
      <c r="T5" s="7" t="str" cm="1">
        <f t="array" ref="T5">_xlfn.IFS(G5&gt;=30, "Very Hgh", G5&gt;=20, "Hgh", G5&gt;=10, "Moderate", G5&lt;10, "Low")</f>
        <v>Low</v>
      </c>
      <c r="U5" s="7" t="str" cm="1">
        <f t="array" ref="U5">_xlfn.IFS(D5&gt;=50000, "A", D5&gt;=40000, "B", D5&gt;=30000, "C", D5&lt;30000, "D")</f>
        <v>D</v>
      </c>
      <c r="V5" s="7" t="str" cm="1">
        <f t="array" ref="V5">_xlfn.IFS(G5&gt;=30, "Very Active", G5&gt;=20, "Active", G5&gt;=10, "Moderate", G5&lt;10, "Less Active")</f>
        <v>Less Active</v>
      </c>
      <c r="W5" s="7" t="str" cm="1">
        <f t="array" ref="W5">_xlfn.IFS(E5&gt;=5, "Coffee Addict", E5&gt;=4, "Heavy Drinker", E5&gt;=2, "Regular Drinker", E5&lt;2, "light drinker")</f>
        <v>Heavy Drinker</v>
      </c>
      <c r="X5" s="7" t="str">
        <f t="shared" si="0"/>
        <v>Not Elgble</v>
      </c>
      <c r="Y5" s="7" t="str">
        <f t="shared" si="1"/>
        <v>Needs Attenton</v>
      </c>
      <c r="Z5" s="7" t="str">
        <f t="shared" si="2"/>
        <v>inactive</v>
      </c>
      <c r="AA5" s="7" t="str">
        <f t="shared" si="3"/>
        <v>Happy High Earner</v>
      </c>
      <c r="AB5" s="7" t="str">
        <f t="shared" si="4"/>
        <v>Other</v>
      </c>
      <c r="AC5" s="7" t="str">
        <f t="shared" si="5"/>
        <v>Pizza Fan</v>
      </c>
      <c r="AD5" s="7" t="str">
        <f t="shared" si="6"/>
        <v>Needs Improvement</v>
      </c>
      <c r="AE5" s="7" t="str">
        <f t="shared" si="7"/>
        <v>Special Employee</v>
      </c>
      <c r="AF5" s="7" t="str">
        <f t="shared" si="8"/>
        <v>Food &amp; Coffee Lover</v>
      </c>
      <c r="AG5" s="7" t="str">
        <f t="shared" si="9"/>
        <v>Normal</v>
      </c>
      <c r="AH5" s="7" t="str">
        <f t="shared" si="10"/>
        <v>Good Mood</v>
      </c>
      <c r="AI5" s="7" t="str">
        <f t="shared" si="11"/>
        <v>Technical</v>
      </c>
      <c r="AJ5" s="7" t="str">
        <f t="shared" si="12"/>
        <v>Regular Performer</v>
      </c>
      <c r="AK5" s="7" t="str">
        <f t="shared" si="13"/>
        <v>Reward</v>
      </c>
      <c r="AL5" s="7"/>
      <c r="AM5" s="7"/>
      <c r="AN5" s="7"/>
      <c r="AO5" s="7"/>
      <c r="AP5" s="7"/>
      <c r="AQ5" s="7"/>
      <c r="AR5" s="7"/>
      <c r="AS5" s="7"/>
      <c r="AU5" t="s">
        <v>53</v>
      </c>
    </row>
    <row r="6" spans="1:47">
      <c r="A6" s="1" t="s">
        <v>26</v>
      </c>
      <c r="B6" s="1" t="s">
        <v>27</v>
      </c>
      <c r="C6" s="1" t="s">
        <v>28</v>
      </c>
      <c r="D6" s="1">
        <v>45000</v>
      </c>
      <c r="E6" s="1">
        <v>1</v>
      </c>
      <c r="F6" s="1">
        <v>0</v>
      </c>
      <c r="G6" s="1">
        <v>30</v>
      </c>
      <c r="H6" s="1" t="s">
        <v>29</v>
      </c>
      <c r="I6" s="1" t="s">
        <v>18</v>
      </c>
      <c r="J6" s="7" t="str">
        <v>High Salary</v>
      </c>
      <c r="K6" s="7" t="str">
        <v xml:space="preserve">Normal </v>
      </c>
      <c r="L6" s="7" t="str">
        <v>Good Attendance</v>
      </c>
      <c r="M6" s="7" t="str">
        <v>High Search</v>
      </c>
      <c r="N6" s="7" t="str">
        <v xml:space="preserve">Other Department </v>
      </c>
      <c r="O6" s="7" t="str">
        <v>Other Food</v>
      </c>
      <c r="P6" s="7" t="str">
        <v xml:space="preserve">Other Mood </v>
      </c>
      <c r="Q6" s="7" t="str" cm="1">
        <f t="array" ref="Q6">_xlfn.IFS(D6&gt;=50000, "Excellent", D6&gt;=40000, "Very Good", D6&gt;=30000, "Good", D6&lt;30000, "Low")</f>
        <v>Very Good</v>
      </c>
      <c r="R6" s="7" t="str" cm="1">
        <f t="array" ref="R6">_xlfn.IFS(E6&gt;=5, "Heavy", E6&gt;=3, "Moderate", E6&gt;=1, "Normal", E6=0, "No Coffee")</f>
        <v>Normal</v>
      </c>
      <c r="S6" s="7" t="str" cm="1">
        <f t="array" ref="S6">_xlfn.IFS(F7&gt;=5, "Very High", F7&gt;=3, "high", F7&gt;=1, "Moderate", F7=0, "No Bunk")</f>
        <v>Very High</v>
      </c>
      <c r="T6" s="7" t="str" cm="1">
        <f t="array" ref="T6">_xlfn.IFS(G6&gt;=30, "Very Hgh", G6&gt;=20, "Hgh", G6&gt;=10, "Moderate", G6&lt;10, "Low")</f>
        <v>Very Hgh</v>
      </c>
      <c r="U6" s="7" t="str" cm="1">
        <f t="array" ref="U6">_xlfn.IFS(D6&gt;=50000, "A", D6&gt;=40000, "B", D6&gt;=30000, "C", D6&lt;30000, "D")</f>
        <v>B</v>
      </c>
      <c r="V6" s="7" t="str" cm="1">
        <f t="array" ref="V6">_xlfn.IFS(G6&gt;=30, "Very Active", G6&gt;=20, "Active", G6&gt;=10, "Moderate", G6&lt;10, "Less Active")</f>
        <v>Very Active</v>
      </c>
      <c r="W6" s="7" t="str" cm="1">
        <f t="array" ref="W6">_xlfn.IFS(E6&gt;=5, "Coffee Addict", E6&gt;=4, "Heavy Drinker", E6&gt;=2, "Regular Drinker", E6&lt;2, "light drinker")</f>
        <v>light drinker</v>
      </c>
      <c r="X6" s="7" t="str">
        <f t="shared" si="0"/>
        <v>Not Elgble</v>
      </c>
      <c r="Y6" s="7" t="str">
        <f t="shared" si="1"/>
        <v>Normal</v>
      </c>
      <c r="Z6" s="7" t="str">
        <f t="shared" si="2"/>
        <v>Active Employee</v>
      </c>
      <c r="AA6" s="7" t="str">
        <f t="shared" si="3"/>
        <v>Normal Employee</v>
      </c>
      <c r="AB6" s="7" t="str">
        <f>IF(AND(C6="Python", D6&gt;=30000), "Python Performer", "Other")</f>
        <v>Other</v>
      </c>
      <c r="AC6" s="7" t="str">
        <f t="shared" si="5"/>
        <v>Not Pizza Fan</v>
      </c>
      <c r="AD6" s="7" t="str">
        <f t="shared" si="6"/>
        <v>Responsible</v>
      </c>
      <c r="AE6" s="7" t="str">
        <f t="shared" si="7"/>
        <v>Regular Employee</v>
      </c>
      <c r="AF6" s="7" t="str">
        <f t="shared" si="8"/>
        <v>Normal</v>
      </c>
      <c r="AG6" s="7" t="str">
        <f t="shared" si="9"/>
        <v>Very Active</v>
      </c>
      <c r="AH6" s="7" t="str">
        <f t="shared" si="10"/>
        <v>Good Mood</v>
      </c>
      <c r="AI6" s="7" t="str">
        <f t="shared" si="11"/>
        <v>Other</v>
      </c>
      <c r="AJ6" s="7" t="str">
        <f t="shared" si="12"/>
        <v>High Performer</v>
      </c>
      <c r="AK6" s="7" t="str">
        <f t="shared" si="13"/>
        <v>Reward</v>
      </c>
      <c r="AL6" s="7"/>
      <c r="AM6" s="7"/>
      <c r="AN6" s="7"/>
      <c r="AO6" s="7"/>
      <c r="AP6" s="7"/>
      <c r="AQ6" s="7"/>
      <c r="AR6" s="7"/>
      <c r="AS6" s="7"/>
    </row>
    <row r="7" spans="1:47">
      <c r="A7" s="1" t="s">
        <v>30</v>
      </c>
      <c r="B7" s="1" t="s">
        <v>31</v>
      </c>
      <c r="C7" s="1" t="s">
        <v>16</v>
      </c>
      <c r="D7" s="1">
        <v>32000</v>
      </c>
      <c r="E7" s="1">
        <v>3</v>
      </c>
      <c r="F7" s="1">
        <v>5</v>
      </c>
      <c r="G7" s="1">
        <v>12</v>
      </c>
      <c r="H7" s="1" t="s">
        <v>17</v>
      </c>
      <c r="I7" s="1" t="s">
        <v>13</v>
      </c>
      <c r="J7" s="7" t="str">
        <v>Normal salary</v>
      </c>
      <c r="K7" s="7" t="str">
        <v xml:space="preserve">Normal </v>
      </c>
      <c r="L7" s="7" t="str">
        <v>Poor Attendance</v>
      </c>
      <c r="M7" s="7" t="str">
        <v>Normal  search</v>
      </c>
      <c r="N7" s="7" t="str">
        <v xml:space="preserve">Other Department </v>
      </c>
      <c r="O7" s="7" t="str">
        <v>Other Food</v>
      </c>
      <c r="P7" s="7" t="str">
        <v>Good Mood</v>
      </c>
      <c r="Q7" s="7" t="str" cm="1">
        <f t="array" ref="Q7">_xlfn.IFS(D7&gt;=50000, "Excellent", D7&gt;=40000, "Very Good", D7&gt;=30000, "Good", D7&lt;30000, "Low")</f>
        <v>Good</v>
      </c>
      <c r="R7" s="7" t="str" cm="1">
        <f t="array" ref="R7">_xlfn.IFS(E7&gt;=5, "Heavy", E7&gt;=3, "Moderate", E7&gt;=1, "Normal", E7=0, "No Coffee")</f>
        <v>Moderate</v>
      </c>
      <c r="S7" s="7" t="str" cm="1">
        <f t="array" ref="S7">_xlfn.IFS(F8&gt;=5, "Very High", F8&gt;=3, "high", F8&gt;=1, "Moderate", F8=0, "No Bunk")</f>
        <v>Very High</v>
      </c>
      <c r="T7" s="7" t="str" cm="1">
        <f t="array" ref="T7">_xlfn.IFS(G7&gt;=30, "Very Hgh", G7&gt;=20, "Hgh", G7&gt;=10, "Moderate", G7&lt;10, "Low")</f>
        <v>Moderate</v>
      </c>
      <c r="U7" s="7" t="str" cm="1">
        <f t="array" ref="U7">_xlfn.IFS(D7&gt;=50000, "A", D7&gt;=40000, "B", D7&gt;=30000, "C", D7&lt;30000, "D")</f>
        <v>C</v>
      </c>
      <c r="V7" s="7" t="str" cm="1">
        <f t="array" ref="V7">_xlfn.IFS(G7&gt;=30, "Very Active", G7&gt;=20, "Active", G7&gt;=10, "Moderate", G7&lt;10, "Less Active")</f>
        <v>Moderate</v>
      </c>
      <c r="W7" s="7" t="str" cm="1">
        <f t="array" ref="W7">_xlfn.IFS(E7&gt;=5, "Coffee Addict", E7&gt;=4, "Heavy Drinker", E7&gt;=2, "Regular Drinker", E7&lt;2, "light drinker")</f>
        <v>Regular Drinker</v>
      </c>
      <c r="X7" s="7" t="str">
        <f t="shared" si="0"/>
        <v>Not Elgble</v>
      </c>
      <c r="Y7" s="7" t="str">
        <f t="shared" si="1"/>
        <v>Normal</v>
      </c>
      <c r="Z7" s="7" t="str">
        <f t="shared" si="2"/>
        <v>inactive</v>
      </c>
      <c r="AA7" s="7" t="str">
        <f t="shared" si="3"/>
        <v>Happy High Earner</v>
      </c>
      <c r="AB7" s="7" t="str">
        <f t="shared" si="4"/>
        <v>Other</v>
      </c>
      <c r="AC7" s="7" t="str">
        <f t="shared" si="5"/>
        <v>Not Pizza Fan</v>
      </c>
      <c r="AD7" s="7" t="str">
        <f t="shared" si="6"/>
        <v>Needs Improvement</v>
      </c>
      <c r="AE7" s="7" t="str">
        <f t="shared" si="7"/>
        <v>Regular Employee</v>
      </c>
      <c r="AF7" s="7" t="str">
        <f t="shared" si="8"/>
        <v>Food &amp; Coffee Lover</v>
      </c>
      <c r="AG7" s="7" t="str">
        <f t="shared" si="9"/>
        <v>Normal</v>
      </c>
      <c r="AH7" s="7" t="str">
        <f t="shared" si="10"/>
        <v>Good Mood</v>
      </c>
      <c r="AI7" s="7" t="str">
        <f t="shared" si="11"/>
        <v>Other</v>
      </c>
      <c r="AJ7" s="7" t="str">
        <f t="shared" si="12"/>
        <v>Regular Performer</v>
      </c>
      <c r="AK7" s="7" t="str">
        <f t="shared" si="13"/>
        <v>Reward</v>
      </c>
      <c r="AL7" s="7"/>
      <c r="AM7" s="7"/>
      <c r="AN7" s="7"/>
      <c r="AO7" s="7"/>
      <c r="AP7" s="7"/>
      <c r="AQ7" s="7"/>
      <c r="AR7" s="7"/>
      <c r="AS7" s="7"/>
      <c r="AU7" s="3" t="s">
        <v>54</v>
      </c>
    </row>
    <row r="8" spans="1:47">
      <c r="A8" s="1" t="s">
        <v>32</v>
      </c>
      <c r="B8" s="1" t="s">
        <v>33</v>
      </c>
      <c r="C8" s="1" t="s">
        <v>21</v>
      </c>
      <c r="D8" s="1">
        <v>25000</v>
      </c>
      <c r="E8" s="1">
        <v>6</v>
      </c>
      <c r="F8" s="1">
        <v>6</v>
      </c>
      <c r="G8" s="1">
        <v>35</v>
      </c>
      <c r="H8" s="1" t="s">
        <v>12</v>
      </c>
      <c r="I8" s="1" t="s">
        <v>23</v>
      </c>
      <c r="J8" s="7" t="str">
        <v>Normal salary</v>
      </c>
      <c r="K8" s="7" t="str">
        <v>Heavy Coffee Driner</v>
      </c>
      <c r="L8" s="7" t="str">
        <v>Poor Attendance</v>
      </c>
      <c r="M8" s="7" t="str">
        <v>High Search</v>
      </c>
      <c r="N8" s="7" t="str">
        <v xml:space="preserve">Other Department </v>
      </c>
      <c r="O8" s="7" t="str">
        <v>Pizza lower</v>
      </c>
      <c r="P8" s="7" t="str">
        <v>Good Mood</v>
      </c>
      <c r="Q8" s="7" t="str" cm="1">
        <f t="array" ref="Q8">_xlfn.IFS(D8&gt;=50000, "Excellent", D8&gt;=40000, "Very Good", D8&gt;=30000, "Good", D8&lt;30000, "Low")</f>
        <v>Low</v>
      </c>
      <c r="R8" s="7" t="str" cm="1">
        <f t="array" ref="R8">_xlfn.IFS(E8&gt;=5, "Heavy", E8&gt;=3, "Moderate", E8&gt;=1, "Normal", E8=0, "No Coffee")</f>
        <v>Heavy</v>
      </c>
      <c r="S8" s="7" t="str" cm="1">
        <f t="array" ref="S8">_xlfn.IFS(F9&gt;=5, "Very High", F9&gt;=3, "high", F9&gt;=1, "Moderate", F9=0, "No Bunk")</f>
        <v>Moderate</v>
      </c>
      <c r="T8" s="7" t="str" cm="1">
        <f t="array" ref="T8">_xlfn.IFS(G8&gt;=30, "Very Hgh", G8&gt;=20, "Hgh", G8&gt;=10, "Moderate", G8&lt;10, "Low")</f>
        <v>Very Hgh</v>
      </c>
      <c r="U8" s="7" t="str" cm="1">
        <f t="array" ref="U8">_xlfn.IFS(D8&gt;=50000, "A", D8&gt;=40000, "B", D8&gt;=30000, "C", D8&lt;30000, "D")</f>
        <v>D</v>
      </c>
      <c r="V8" s="7" t="str" cm="1">
        <f t="array" ref="V8">_xlfn.IFS(G8&gt;=30, "Very Active", G8&gt;=20, "Active", G8&gt;=10, "Moderate", G8&lt;10, "Less Active")</f>
        <v>Very Active</v>
      </c>
      <c r="W8" s="7" t="str" cm="1">
        <f t="array" ref="W8">_xlfn.IFS(E8&gt;=5, "Coffee Addict", E8&gt;=4, "Heavy Drinker", E8&gt;=2, "Regular Drinker", E8&lt;2, "light drinker")</f>
        <v>Coffee Addict</v>
      </c>
      <c r="X8" s="7" t="str">
        <f t="shared" si="0"/>
        <v>Not Elgble</v>
      </c>
      <c r="Y8" s="7" t="str">
        <f t="shared" si="1"/>
        <v>Needs Attenton</v>
      </c>
      <c r="Z8" s="7" t="str">
        <f t="shared" si="2"/>
        <v>inactive</v>
      </c>
      <c r="AA8" s="7" t="str">
        <f t="shared" si="3"/>
        <v>Normal Employee</v>
      </c>
      <c r="AB8" s="7" t="str">
        <f t="shared" si="4"/>
        <v>Other</v>
      </c>
      <c r="AC8" s="7" t="str">
        <f t="shared" si="5"/>
        <v>Not Pizza Fan</v>
      </c>
      <c r="AD8" s="7" t="str">
        <f t="shared" si="6"/>
        <v>Needs Improvement</v>
      </c>
      <c r="AE8" s="7" t="str">
        <f t="shared" si="7"/>
        <v>Regular Employee</v>
      </c>
      <c r="AF8" s="7" t="str">
        <f t="shared" si="8"/>
        <v>Food &amp; Coffee Lover</v>
      </c>
      <c r="AG8" s="7" t="str">
        <f t="shared" si="9"/>
        <v>Very Active</v>
      </c>
      <c r="AH8" s="7" t="str">
        <f t="shared" si="10"/>
        <v>Other Mood</v>
      </c>
      <c r="AI8" s="7" t="str">
        <f t="shared" si="11"/>
        <v>Technical</v>
      </c>
      <c r="AJ8" s="7" t="str">
        <f t="shared" si="12"/>
        <v>High Performer</v>
      </c>
      <c r="AK8" s="7" t="str">
        <f t="shared" si="13"/>
        <v>No Reward</v>
      </c>
      <c r="AL8" s="7"/>
      <c r="AM8" s="7"/>
      <c r="AN8" s="7"/>
      <c r="AO8" s="7"/>
      <c r="AP8" s="7"/>
      <c r="AQ8" s="7"/>
      <c r="AR8" s="7"/>
      <c r="AS8" s="7"/>
      <c r="AU8" t="s">
        <v>55</v>
      </c>
    </row>
    <row r="9" spans="1:47">
      <c r="A9" s="1" t="s">
        <v>34</v>
      </c>
      <c r="B9" s="1" t="s">
        <v>35</v>
      </c>
      <c r="C9" s="1" t="s">
        <v>11</v>
      </c>
      <c r="D9" s="1">
        <v>50000</v>
      </c>
      <c r="E9" s="1">
        <v>2</v>
      </c>
      <c r="F9" s="1">
        <v>1</v>
      </c>
      <c r="G9" s="1">
        <v>20</v>
      </c>
      <c r="H9" s="1" t="s">
        <v>22</v>
      </c>
      <c r="I9" s="1" t="s">
        <v>13</v>
      </c>
      <c r="J9" s="7" t="str">
        <v>High Salary</v>
      </c>
      <c r="K9" s="7" t="str">
        <v xml:space="preserve">Normal </v>
      </c>
      <c r="L9" s="7" t="str">
        <v>Good Attendance</v>
      </c>
      <c r="M9" s="7" t="str">
        <v>High Search</v>
      </c>
      <c r="N9" s="7" t="str">
        <v>Pyhton Employee</v>
      </c>
      <c r="O9" s="7" t="str">
        <v>Other Food</v>
      </c>
      <c r="P9" s="7" t="str">
        <v>Good Mood</v>
      </c>
      <c r="Q9" s="7" t="str" cm="1">
        <f t="array" ref="Q9">_xlfn.IFS(D9&gt;=50000, "Excellent", D9&gt;=40000, "Very Good", D9&gt;=30000, "Good", D9&lt;30000, "Low")</f>
        <v>Excellent</v>
      </c>
      <c r="R9" s="7" t="str" cm="1">
        <f t="array" ref="R9">_xlfn.IFS(E9&gt;=5, "Heavy", E9&gt;=3, "Moderate", E9&gt;=1, "Normal", E9=0, "No Coffee")</f>
        <v>Normal</v>
      </c>
      <c r="S9" s="7" t="str" cm="1">
        <f t="array" ref="S9">_xlfn.IFS(F10&gt;=5, "Very High", F10&gt;=3, "high", F10&gt;=1, "Moderate", F10=0, "No Bunk")</f>
        <v>Moderate</v>
      </c>
      <c r="T9" s="7" t="str" cm="1">
        <f t="array" ref="T9">_xlfn.IFS(G9&gt;=30, "Very Hgh", G9&gt;=20, "Hgh", G9&gt;=10, "Moderate", G9&lt;10, "Low")</f>
        <v>Hgh</v>
      </c>
      <c r="U9" s="7" t="str" cm="1">
        <f t="array" ref="U9">_xlfn.IFS(D9&gt;=50000, "A", D9&gt;=40000, "B", D9&gt;=30000, "C", D9&lt;30000, "D")</f>
        <v>A</v>
      </c>
      <c r="V9" s="7" t="str" cm="1">
        <f t="array" ref="V9">_xlfn.IFS(G9&gt;=30, "Very Active", G9&gt;=20, "Active", G9&gt;=10, "Moderate", G9&lt;10, "Less Active")</f>
        <v>Active</v>
      </c>
      <c r="W9" s="7" t="str" cm="1">
        <f t="array" ref="W9">_xlfn.IFS(E9&gt;=5, "Coffee Addict", E9&gt;=4, "Heavy Drinker", E9&gt;=2, "Regular Drinker", E9&lt;2, "light drinker")</f>
        <v>Regular Drinker</v>
      </c>
      <c r="X9" s="7" t="str">
        <f t="shared" si="0"/>
        <v>Elgble</v>
      </c>
      <c r="Y9" s="7" t="str">
        <f t="shared" si="1"/>
        <v>Normal</v>
      </c>
      <c r="Z9" s="7" t="str">
        <f t="shared" si="2"/>
        <v>Active Employee</v>
      </c>
      <c r="AA9" s="7" t="str">
        <f t="shared" si="3"/>
        <v>Normal Employee</v>
      </c>
      <c r="AB9" s="7" t="str">
        <f t="shared" si="4"/>
        <v>Python Performer</v>
      </c>
      <c r="AC9" s="7" t="str">
        <f t="shared" si="5"/>
        <v>Not Pizza Fan</v>
      </c>
      <c r="AD9" s="7" t="str">
        <f t="shared" si="6"/>
        <v>Responsible</v>
      </c>
      <c r="AE9" s="7" t="str">
        <f t="shared" si="7"/>
        <v>Special Employee</v>
      </c>
      <c r="AF9" s="7" t="str">
        <f t="shared" si="8"/>
        <v>Normal</v>
      </c>
      <c r="AG9" s="7" t="str">
        <f t="shared" si="9"/>
        <v>Normal</v>
      </c>
      <c r="AH9" s="7" t="str">
        <f t="shared" si="10"/>
        <v>Good Mood</v>
      </c>
      <c r="AI9" s="7" t="str">
        <f t="shared" si="11"/>
        <v>Technical</v>
      </c>
      <c r="AJ9" s="7" t="str">
        <f t="shared" si="12"/>
        <v>High Performer</v>
      </c>
      <c r="AK9" s="7" t="str">
        <f t="shared" si="13"/>
        <v>Reward</v>
      </c>
      <c r="AL9" s="7"/>
      <c r="AM9" s="7"/>
      <c r="AN9" s="7"/>
      <c r="AO9" s="7"/>
      <c r="AP9" s="7"/>
      <c r="AQ9" s="7"/>
      <c r="AR9" s="7"/>
      <c r="AS9" s="7"/>
    </row>
    <row r="10" spans="1:47">
      <c r="A10" s="1" t="s">
        <v>36</v>
      </c>
      <c r="B10" s="1" t="s">
        <v>37</v>
      </c>
      <c r="C10" s="1" t="s">
        <v>28</v>
      </c>
      <c r="D10" s="1">
        <v>38000</v>
      </c>
      <c r="E10" s="1">
        <v>4</v>
      </c>
      <c r="F10" s="1">
        <v>2</v>
      </c>
      <c r="G10" s="1">
        <v>18</v>
      </c>
      <c r="H10" s="1" t="s">
        <v>29</v>
      </c>
      <c r="I10" s="1" t="s">
        <v>18</v>
      </c>
      <c r="J10" s="7" t="str">
        <v>Normal salary</v>
      </c>
      <c r="K10" s="7" t="str">
        <v>Heavy Coffee Driner</v>
      </c>
      <c r="L10" s="7" t="str">
        <v>Good Attendance</v>
      </c>
      <c r="M10" s="7" t="str">
        <v>Normal  search</v>
      </c>
      <c r="N10" s="7" t="str">
        <v xml:space="preserve">Other Department </v>
      </c>
      <c r="O10" s="7" t="str">
        <v>Other Food</v>
      </c>
      <c r="P10" s="7" t="str">
        <v xml:space="preserve">Other Mood </v>
      </c>
      <c r="Q10" s="7" t="str" cm="1">
        <f t="array" ref="Q10">_xlfn.IFS(D10&gt;=50000, "Excellent", D10&gt;=40000, "Very Good", D10&gt;=30000, "Good", D10&lt;30000, "Low")</f>
        <v>Good</v>
      </c>
      <c r="R10" s="7" t="str" cm="1">
        <f t="array" ref="R10">_xlfn.IFS(E10&gt;=5, "Heavy", E10&gt;=3, "Moderate", E10&gt;=1, "Normal", E10=0, "No Coffee")</f>
        <v>Moderate</v>
      </c>
      <c r="S10" s="7" t="str" cm="1">
        <f t="array" ref="S10">_xlfn.IFS(F11&gt;=5, "Very High", F11&gt;=3, "high", F11&gt;=1, "Moderate", F11=0, "No Bunk")</f>
        <v>high</v>
      </c>
      <c r="T10" s="7" t="str" cm="1">
        <f t="array" ref="T10">_xlfn.IFS(G10&gt;=30, "Very Hgh", G10&gt;=20, "Hgh", G10&gt;=10, "Moderate", G10&lt;10, "Low")</f>
        <v>Moderate</v>
      </c>
      <c r="U10" s="7" t="str" cm="1">
        <f t="array" ref="U10">_xlfn.IFS(D10&gt;=50000, "A", D10&gt;=40000, "B", D10&gt;=30000, "C", D10&lt;30000, "D")</f>
        <v>C</v>
      </c>
      <c r="V10" s="7" t="str" cm="1">
        <f t="array" ref="V10">_xlfn.IFS(G10&gt;=30, "Very Active", G10&gt;=20, "Active", G10&gt;=10, "Moderate", G10&lt;10, "Less Active")</f>
        <v>Moderate</v>
      </c>
      <c r="W10" s="7" t="str" cm="1">
        <f t="array" ref="W10">_xlfn.IFS(E10&gt;=5, "Coffee Addict", E10&gt;=4, "Heavy Drinker", E10&gt;=2, "Regular Drinker", E10&lt;2, "light drinker")</f>
        <v>Heavy Drinker</v>
      </c>
      <c r="X10" s="7" t="str">
        <f t="shared" si="0"/>
        <v>Not Elgble</v>
      </c>
      <c r="Y10" s="7" t="str">
        <f t="shared" si="1"/>
        <v>Normal</v>
      </c>
      <c r="Z10" s="7" t="str">
        <f t="shared" si="2"/>
        <v>inactive</v>
      </c>
      <c r="AA10" s="7" t="str">
        <f t="shared" si="3"/>
        <v>Normal Employee</v>
      </c>
      <c r="AB10" s="7" t="str">
        <f t="shared" si="4"/>
        <v>Other</v>
      </c>
      <c r="AC10" s="7" t="str">
        <f t="shared" si="5"/>
        <v>Not Pizza Fan</v>
      </c>
      <c r="AD10" s="7" t="str">
        <f t="shared" si="6"/>
        <v>Needs Improvement</v>
      </c>
      <c r="AE10" s="7" t="str">
        <f t="shared" si="7"/>
        <v>Regular Employee</v>
      </c>
      <c r="AF10" s="7" t="str">
        <f t="shared" si="8"/>
        <v>Normal</v>
      </c>
      <c r="AG10" s="7" t="str">
        <f t="shared" si="9"/>
        <v>Normal</v>
      </c>
      <c r="AH10" s="7" t="str">
        <f t="shared" si="10"/>
        <v>Good Mood</v>
      </c>
      <c r="AI10" s="7" t="str">
        <f t="shared" si="11"/>
        <v>Other</v>
      </c>
      <c r="AJ10" s="7" t="str">
        <f t="shared" si="12"/>
        <v>Regular Performer</v>
      </c>
      <c r="AK10" s="7" t="str">
        <f t="shared" si="13"/>
        <v>No Reward</v>
      </c>
      <c r="AL10" s="7"/>
      <c r="AM10" s="7"/>
      <c r="AN10" s="7"/>
      <c r="AO10" s="7"/>
      <c r="AP10" s="7"/>
      <c r="AQ10" s="7"/>
      <c r="AR10" s="7"/>
      <c r="AS10" s="7"/>
      <c r="AU10" s="3" t="s">
        <v>56</v>
      </c>
    </row>
    <row r="11" spans="1:47">
      <c r="A11" s="1" t="s">
        <v>38</v>
      </c>
      <c r="B11" s="1" t="s">
        <v>39</v>
      </c>
      <c r="C11" s="1" t="s">
        <v>16</v>
      </c>
      <c r="D11" s="1">
        <v>42000</v>
      </c>
      <c r="E11" s="1">
        <v>5</v>
      </c>
      <c r="F11" s="1">
        <v>3</v>
      </c>
      <c r="G11" s="1">
        <v>28</v>
      </c>
      <c r="H11" s="1" t="s">
        <v>12</v>
      </c>
      <c r="I11" s="1" t="s">
        <v>13</v>
      </c>
      <c r="J11" s="7" t="str">
        <v>High Salary</v>
      </c>
      <c r="K11" s="7" t="str">
        <v>Heavy Coffee Driner</v>
      </c>
      <c r="L11" s="7" t="str">
        <v>Poor Attendance</v>
      </c>
      <c r="M11" s="7" t="str">
        <v>High Search</v>
      </c>
      <c r="N11" s="7" t="str">
        <v xml:space="preserve">Other Department </v>
      </c>
      <c r="O11" s="7" t="str">
        <v>Pizza lower</v>
      </c>
      <c r="P11" s="7" t="str">
        <v>Good Mood</v>
      </c>
      <c r="Q11" s="7" t="str" cm="1">
        <f t="array" ref="Q11">_xlfn.IFS(D11&gt;=50000, "Excellent", D11&gt;=40000, "Very Good", D11&gt;=30000, "Good", D11&lt;30000, "Low")</f>
        <v>Very Good</v>
      </c>
      <c r="R11" s="7" t="str" cm="1">
        <f t="array" ref="R11">_xlfn.IFS(E11&gt;=5, "Heavy", E11&gt;=3, "Moderate", E11&gt;=1, "Normal", E11=0, "No Coffee")</f>
        <v>Heavy</v>
      </c>
      <c r="S11" s="7" t="str" cm="1">
        <f t="array" ref="S11">_xlfn.IFS(F12&gt;=5, "Very High", F12&gt;=3, "high", F12&gt;=1, "Moderate", F12=0, "No Bunk")</f>
        <v>high</v>
      </c>
      <c r="T11" s="7" t="str" cm="1">
        <f t="array" ref="T11">_xlfn.IFS(G11&gt;=30, "Very Hgh", G11&gt;=20, "Hgh", G11&gt;=10, "Moderate", G11&lt;10, "Low")</f>
        <v>Hgh</v>
      </c>
      <c r="U11" s="7" t="str" cm="1">
        <f t="array" ref="U11">_xlfn.IFS(D11&gt;=50000, "A", D11&gt;=40000, "B", D11&gt;=30000, "C", D11&lt;30000, "D")</f>
        <v>B</v>
      </c>
      <c r="V11" s="7" t="str" cm="1">
        <f t="array" ref="V11">_xlfn.IFS(G11&gt;=30, "Very Active", G11&gt;=20, "Active", G11&gt;=10, "Moderate", G11&lt;10, "Less Active")</f>
        <v>Active</v>
      </c>
      <c r="W11" s="7" t="str" cm="1">
        <f t="array" ref="W11">_xlfn.IFS(E11&gt;=5, "Coffee Addict", E11&gt;=4, "Heavy Drinker", E11&gt;=2, "Regular Drinker", E11&lt;2, "light drinker")</f>
        <v>Coffee Addict</v>
      </c>
      <c r="X11" s="7" t="str">
        <f t="shared" si="0"/>
        <v>Not Elgble</v>
      </c>
      <c r="Y11" s="7" t="str">
        <f t="shared" si="1"/>
        <v>Needs Attenton</v>
      </c>
      <c r="Z11" s="7" t="str">
        <f t="shared" si="2"/>
        <v>inactive</v>
      </c>
      <c r="AA11" s="7" t="str">
        <f t="shared" si="3"/>
        <v>Normal Employee</v>
      </c>
      <c r="AB11" s="7" t="str">
        <f t="shared" si="4"/>
        <v>Other</v>
      </c>
      <c r="AC11" s="7" t="str">
        <f t="shared" si="5"/>
        <v>Pizza Fan</v>
      </c>
      <c r="AD11" s="7" t="str">
        <f t="shared" si="6"/>
        <v>Needs Improvement</v>
      </c>
      <c r="AE11" s="7" t="str">
        <f t="shared" si="7"/>
        <v>Regular Employee</v>
      </c>
      <c r="AF11" s="7" t="str">
        <f t="shared" si="8"/>
        <v>Food &amp; Coffee Lover</v>
      </c>
      <c r="AG11" s="7" t="str">
        <f t="shared" si="9"/>
        <v>Normal</v>
      </c>
      <c r="AH11" s="7" t="str">
        <f t="shared" si="10"/>
        <v>Good Mood</v>
      </c>
      <c r="AI11" s="7" t="str">
        <f t="shared" si="11"/>
        <v>Other</v>
      </c>
      <c r="AJ11" s="7" t="str">
        <f t="shared" si="12"/>
        <v>Regular Performer</v>
      </c>
      <c r="AK11" s="7" t="str">
        <f t="shared" si="13"/>
        <v>Reward</v>
      </c>
      <c r="AL11" s="7"/>
      <c r="AM11" s="7"/>
      <c r="AN11" s="7"/>
      <c r="AO11" s="7"/>
      <c r="AP11" s="7"/>
      <c r="AQ11" s="7"/>
      <c r="AR11" s="7"/>
      <c r="AS11" s="7"/>
      <c r="AU11" t="s">
        <v>57</v>
      </c>
    </row>
    <row r="12" spans="1:47">
      <c r="A12" s="1" t="s">
        <v>40</v>
      </c>
      <c r="B12" s="1" t="s">
        <v>41</v>
      </c>
      <c r="C12" s="1" t="s">
        <v>21</v>
      </c>
      <c r="D12" s="1">
        <v>29000</v>
      </c>
      <c r="E12" s="1">
        <v>1</v>
      </c>
      <c r="F12" s="1">
        <v>4</v>
      </c>
      <c r="G12" s="1">
        <v>22</v>
      </c>
      <c r="H12" s="1" t="s">
        <v>22</v>
      </c>
      <c r="I12" s="1" t="s">
        <v>23</v>
      </c>
      <c r="J12" s="7" t="str">
        <v>Normal salary</v>
      </c>
      <c r="K12" s="7" t="str">
        <v xml:space="preserve">Normal </v>
      </c>
      <c r="L12" s="7" t="str">
        <v>Poor Attendance</v>
      </c>
      <c r="M12" s="7" t="str">
        <v>High Search</v>
      </c>
      <c r="N12" s="7" t="str">
        <v xml:space="preserve">Other Department </v>
      </c>
      <c r="O12" s="7" t="str">
        <v>Other Food</v>
      </c>
      <c r="P12" s="7" t="str">
        <v>Good Mood</v>
      </c>
      <c r="Q12" s="7" t="str" cm="1">
        <f t="array" ref="Q12">_xlfn.IFS(D12&gt;=50000, "Excellent", D12&gt;=40000, "Very Good", D12&gt;=30000, "Good", D12&lt;30000, "Low")</f>
        <v>Low</v>
      </c>
      <c r="R12" s="7" t="str" cm="1">
        <f t="array" ref="R12">_xlfn.IFS(E12&gt;=5, "Heavy", E12&gt;=3, "Moderate", E12&gt;=1, "Normal", E12=0, "No Coffee")</f>
        <v>Normal</v>
      </c>
      <c r="S12" s="7" t="str" cm="1">
        <f t="array" ref="S12">_xlfn.IFS(F13&gt;=5, "Very High", F13&gt;=3, "high", F13&gt;=1, "Moderate", F13=0, "No Bunk")</f>
        <v>No Bunk</v>
      </c>
      <c r="T12" s="7" t="str" cm="1">
        <f t="array" ref="T12">_xlfn.IFS(G12&gt;=30, "Very Hgh", G12&gt;=20, "Hgh", G12&gt;=10, "Moderate", G12&lt;10, "Low")</f>
        <v>Hgh</v>
      </c>
      <c r="U12" s="7" t="str" cm="1">
        <f t="array" ref="U12">_xlfn.IFS(D12&gt;=50000, "A", D12&gt;=40000, "B", D12&gt;=30000, "C", D12&lt;30000, "D")</f>
        <v>D</v>
      </c>
      <c r="V12" s="7" t="str" cm="1">
        <f t="array" ref="V12">_xlfn.IFS(G12&gt;=30, "Very Active", G12&gt;=20, "Active", G12&gt;=10, "Moderate", G12&lt;10, "Less Active")</f>
        <v>Active</v>
      </c>
      <c r="W12" s="7" t="str" cm="1">
        <f t="array" ref="W12">_xlfn.IFS(E12&gt;=5, "Coffee Addict", E12&gt;=4, "Heavy Drinker", E12&gt;=2, "Regular Drinker", E12&lt;2, "light drinker")</f>
        <v>light drinker</v>
      </c>
      <c r="X12" s="7" t="str">
        <f t="shared" si="0"/>
        <v>Not Elgble</v>
      </c>
      <c r="Y12" s="7" t="str">
        <f t="shared" si="1"/>
        <v>Normal</v>
      </c>
      <c r="Z12" s="7" t="str">
        <f t="shared" si="2"/>
        <v>inactive</v>
      </c>
      <c r="AA12" s="7" t="str">
        <f t="shared" si="3"/>
        <v>Normal Employee</v>
      </c>
      <c r="AB12" s="7" t="str">
        <f t="shared" si="4"/>
        <v>Other</v>
      </c>
      <c r="AC12" s="7" t="str">
        <f t="shared" si="5"/>
        <v>Not Pizza Fan</v>
      </c>
      <c r="AD12" s="7" t="str">
        <f t="shared" si="6"/>
        <v>Needs Improvement</v>
      </c>
      <c r="AE12" s="7" t="str">
        <f t="shared" si="7"/>
        <v>Regular Employee</v>
      </c>
      <c r="AF12" s="7" t="str">
        <f t="shared" si="8"/>
        <v>Normal</v>
      </c>
      <c r="AG12" s="7" t="str">
        <f t="shared" si="9"/>
        <v>Normal</v>
      </c>
      <c r="AH12" s="7" t="str">
        <f t="shared" si="10"/>
        <v>Other Mood</v>
      </c>
      <c r="AI12" s="7" t="str">
        <f t="shared" si="11"/>
        <v>Technical</v>
      </c>
      <c r="AJ12" s="7" t="str">
        <f t="shared" si="12"/>
        <v>Regular Performer</v>
      </c>
      <c r="AK12" s="7" t="str">
        <f t="shared" si="13"/>
        <v>No Reward</v>
      </c>
      <c r="AL12" s="7"/>
      <c r="AM12" s="7"/>
      <c r="AN12" s="7"/>
      <c r="AO12" s="7"/>
      <c r="AP12" s="7"/>
      <c r="AQ12" s="7"/>
      <c r="AR12" s="7"/>
      <c r="AS12" s="7"/>
    </row>
    <row r="13" spans="1:47">
      <c r="A13" s="1" t="s">
        <v>42</v>
      </c>
      <c r="B13" s="1" t="s">
        <v>43</v>
      </c>
      <c r="C13" s="1" t="s">
        <v>11</v>
      </c>
      <c r="D13" s="1">
        <v>55000</v>
      </c>
      <c r="E13" s="1">
        <v>3</v>
      </c>
      <c r="F13" s="1">
        <v>0</v>
      </c>
      <c r="G13" s="1">
        <v>40</v>
      </c>
      <c r="H13" s="1" t="s">
        <v>17</v>
      </c>
      <c r="I13" s="1" t="s">
        <v>18</v>
      </c>
      <c r="J13" s="7" t="str">
        <v>High Salary</v>
      </c>
      <c r="K13" s="7" t="str">
        <v xml:space="preserve">Normal </v>
      </c>
      <c r="L13" s="7" t="str">
        <v>Good Attendance</v>
      </c>
      <c r="M13" s="7" t="str">
        <v>High Search</v>
      </c>
      <c r="N13" s="7" t="str">
        <v>Pyhton Employee</v>
      </c>
      <c r="O13" s="7" t="str">
        <v>Other Food</v>
      </c>
      <c r="P13" s="7" t="str">
        <v xml:space="preserve">Other Mood </v>
      </c>
      <c r="Q13" s="7" t="str" cm="1">
        <f t="array" ref="Q13">_xlfn.IFS(D13&gt;=50000, "Excellent", D13&gt;=40000, "Very Good", D13&gt;=30000, "Good", D13&lt;30000, "Low")</f>
        <v>Excellent</v>
      </c>
      <c r="R13" s="7" t="str" cm="1">
        <f t="array" ref="R13">_xlfn.IFS(E13&gt;=5, "Heavy", E13&gt;=3, "Moderate", E13&gt;=1, "Normal", E13=0, "No Coffee")</f>
        <v>Moderate</v>
      </c>
      <c r="S13" s="7" t="str" cm="1">
        <f t="array" ref="S13">_xlfn.IFS(F14&gt;=5, "Very High", F14&gt;=3, "high", F14&gt;=1, "Moderate", F14=0, "No Bunk")</f>
        <v>Moderate</v>
      </c>
      <c r="T13" s="7" t="str" cm="1">
        <f t="array" ref="T13">_xlfn.IFS(G13&gt;=30, "Very Hgh", G13&gt;=20, "Hgh", G13&gt;=10, "Moderate", G13&lt;10, "Low")</f>
        <v>Very Hgh</v>
      </c>
      <c r="U13" s="7" t="str" cm="1">
        <f t="array" ref="U13">_xlfn.IFS(D13&gt;=50000, "A", D13&gt;=40000, "B", D13&gt;=30000, "C", D13&lt;30000, "D")</f>
        <v>A</v>
      </c>
      <c r="V13" s="7" t="str" cm="1">
        <f t="array" ref="V13">_xlfn.IFS(G13&gt;=30, "Very Active", G13&gt;=20, "Active", G13&gt;=10, "Moderate", G13&lt;10, "Less Active")</f>
        <v>Very Active</v>
      </c>
      <c r="W13" s="7" t="str" cm="1">
        <f t="array" ref="W13">_xlfn.IFS(E13&gt;=5, "Coffee Addict", E13&gt;=4, "Heavy Drinker", E13&gt;=2, "Regular Drinker", E13&lt;2, "light drinker")</f>
        <v>Regular Drinker</v>
      </c>
      <c r="X13" s="7" t="str">
        <f t="shared" si="0"/>
        <v>Elgble</v>
      </c>
      <c r="Y13" s="7" t="str">
        <f t="shared" si="1"/>
        <v>Normal</v>
      </c>
      <c r="Z13" s="7" t="str">
        <f t="shared" si="2"/>
        <v>Active Employee</v>
      </c>
      <c r="AA13" s="7" t="str">
        <f t="shared" si="3"/>
        <v>Normal Employee</v>
      </c>
      <c r="AB13" s="7" t="str">
        <f t="shared" si="4"/>
        <v>Python Performer</v>
      </c>
      <c r="AC13" s="7" t="str">
        <f t="shared" si="5"/>
        <v>Not Pizza Fan</v>
      </c>
      <c r="AD13" s="7" t="str">
        <f t="shared" si="6"/>
        <v>Needs Improvement</v>
      </c>
      <c r="AE13" s="7" t="str">
        <f t="shared" si="7"/>
        <v>Special Employee</v>
      </c>
      <c r="AF13" s="7" t="str">
        <f t="shared" si="8"/>
        <v>Normal</v>
      </c>
      <c r="AG13" s="7" t="str">
        <f t="shared" si="9"/>
        <v>Very Active</v>
      </c>
      <c r="AH13" s="7" t="str">
        <f t="shared" si="10"/>
        <v>Good Mood</v>
      </c>
      <c r="AI13" s="7" t="str">
        <f t="shared" si="11"/>
        <v>Technical</v>
      </c>
      <c r="AJ13" s="7" t="str">
        <f t="shared" si="12"/>
        <v>High Performer</v>
      </c>
      <c r="AK13" s="7" t="str">
        <f t="shared" si="13"/>
        <v>Reward</v>
      </c>
      <c r="AL13" s="7"/>
      <c r="AM13" s="7"/>
      <c r="AN13" s="7"/>
      <c r="AO13" s="7"/>
      <c r="AP13" s="7"/>
      <c r="AQ13" s="7"/>
      <c r="AR13" s="7"/>
      <c r="AS13" s="7"/>
      <c r="AU13" s="3" t="s">
        <v>58</v>
      </c>
    </row>
    <row r="14" spans="1:47">
      <c r="A14" s="1" t="s">
        <v>44</v>
      </c>
      <c r="B14" s="1" t="s">
        <v>45</v>
      </c>
      <c r="C14" s="1" t="s">
        <v>28</v>
      </c>
      <c r="D14" s="1">
        <v>33000</v>
      </c>
      <c r="E14" s="1">
        <v>2</v>
      </c>
      <c r="F14" s="1">
        <v>2</v>
      </c>
      <c r="G14" s="1">
        <v>7</v>
      </c>
      <c r="H14" s="1" t="s">
        <v>29</v>
      </c>
      <c r="I14" s="1" t="s">
        <v>13</v>
      </c>
      <c r="J14" s="7" t="str">
        <v>Normal salary</v>
      </c>
      <c r="K14" s="7" t="str">
        <v xml:space="preserve">Normal </v>
      </c>
      <c r="L14" s="7" t="str">
        <v>Good Attendance</v>
      </c>
      <c r="M14" s="7" t="str">
        <v>Normal  search</v>
      </c>
      <c r="N14" s="7" t="str">
        <v xml:space="preserve">Other Department </v>
      </c>
      <c r="O14" s="7" t="str">
        <v>Other Food</v>
      </c>
      <c r="P14" s="7" t="str">
        <v>Good Mood</v>
      </c>
      <c r="Q14" s="7" t="str" cm="1">
        <f t="array" ref="Q14">_xlfn.IFS(D14&gt;=50000, "Excellent", D14&gt;=40000, "Very Good", D14&gt;=30000, "Good", D14&lt;30000, "Low")</f>
        <v>Good</v>
      </c>
      <c r="R14" s="7" t="str" cm="1">
        <f t="array" ref="R14">_xlfn.IFS(E14&gt;=5, "Heavy", E14&gt;=3, "Moderate", E14&gt;=1, "Normal", E14=0, "No Coffee")</f>
        <v>Normal</v>
      </c>
      <c r="S14" s="7" t="str" cm="1">
        <f t="array" ref="S14">_xlfn.IFS(F15&gt;=5, "Very High", F15&gt;=3, "high", F15&gt;=1, "Moderate", F15=0, "No Bunk")</f>
        <v>Moderate</v>
      </c>
      <c r="T14" s="7" t="str" cm="1">
        <f t="array" ref="T14">_xlfn.IFS(G14&gt;=30, "Very Hgh", G14&gt;=20, "Hgh", G14&gt;=10, "Moderate", G14&lt;10, "Low")</f>
        <v>Low</v>
      </c>
      <c r="U14" s="7" t="str" cm="1">
        <f t="array" ref="U14">_xlfn.IFS(D14&gt;=50000, "A", D14&gt;=40000, "B", D14&gt;=30000, "C", D14&lt;30000, "D")</f>
        <v>C</v>
      </c>
      <c r="V14" s="7" t="str" cm="1">
        <f t="array" ref="V14">_xlfn.IFS(G14&gt;=30, "Very Active", G14&gt;=20, "Active", G14&gt;=10, "Moderate", G14&lt;10, "Less Active")</f>
        <v>Less Active</v>
      </c>
      <c r="W14" s="7" t="str" cm="1">
        <f t="array" ref="W14">_xlfn.IFS(E14&gt;=5, "Coffee Addict", E14&gt;=4, "Heavy Drinker", E14&gt;=2, "Regular Drinker", E14&lt;2, "light drinker")</f>
        <v>Regular Drinker</v>
      </c>
      <c r="X14" s="7" t="str">
        <f t="shared" si="0"/>
        <v>Not Elgble</v>
      </c>
      <c r="Y14" s="7" t="str">
        <f t="shared" si="1"/>
        <v>Normal</v>
      </c>
      <c r="Z14" s="7" t="str">
        <f t="shared" si="2"/>
        <v>inactive</v>
      </c>
      <c r="AA14" s="7" t="str">
        <f t="shared" si="3"/>
        <v>Happy High Earner</v>
      </c>
      <c r="AB14" s="7" t="str">
        <f t="shared" si="4"/>
        <v>Other</v>
      </c>
      <c r="AC14" s="7" t="str">
        <f t="shared" si="5"/>
        <v>Not Pizza Fan</v>
      </c>
      <c r="AD14" s="7" t="str">
        <f t="shared" si="6"/>
        <v>Needs Improvement</v>
      </c>
      <c r="AE14" s="7" t="str">
        <f t="shared" si="7"/>
        <v>Regular Employee</v>
      </c>
      <c r="AF14" s="7" t="str">
        <f t="shared" si="8"/>
        <v>Normal</v>
      </c>
      <c r="AG14" s="7" t="str">
        <f t="shared" si="9"/>
        <v>Normal</v>
      </c>
      <c r="AH14" s="7" t="str">
        <f t="shared" si="10"/>
        <v>Good Mood</v>
      </c>
      <c r="AI14" s="7" t="str">
        <f t="shared" si="11"/>
        <v>Other</v>
      </c>
      <c r="AJ14" s="7" t="str">
        <f t="shared" si="12"/>
        <v>Regular Performer</v>
      </c>
      <c r="AK14" s="7" t="str">
        <f t="shared" si="13"/>
        <v>Reward</v>
      </c>
      <c r="AL14" s="7"/>
      <c r="AM14" s="7"/>
      <c r="AN14" s="7"/>
      <c r="AO14" s="7"/>
      <c r="AP14" s="7"/>
      <c r="AQ14" s="7"/>
      <c r="AR14" s="7"/>
      <c r="AS14" s="7"/>
      <c r="AU14" t="s">
        <v>59</v>
      </c>
    </row>
    <row r="15" spans="1:47">
      <c r="A15" s="1" t="s">
        <v>46</v>
      </c>
      <c r="B15" s="1" t="s">
        <v>47</v>
      </c>
      <c r="C15" s="1" t="s">
        <v>16</v>
      </c>
      <c r="D15" s="1">
        <v>47000</v>
      </c>
      <c r="E15" s="1">
        <v>4</v>
      </c>
      <c r="F15" s="1">
        <v>1</v>
      </c>
      <c r="G15" s="1">
        <v>32</v>
      </c>
      <c r="H15" s="1" t="s">
        <v>12</v>
      </c>
      <c r="I15" s="1" t="s">
        <v>18</v>
      </c>
      <c r="J15" s="7" t="str">
        <v>High Salary</v>
      </c>
      <c r="K15" s="7" t="str">
        <v>Heavy Coffee Driner</v>
      </c>
      <c r="L15" s="7" t="str">
        <v>Good Attendance</v>
      </c>
      <c r="M15" s="7" t="str">
        <v>High Search</v>
      </c>
      <c r="N15" s="7" t="str">
        <v xml:space="preserve">Other Department </v>
      </c>
      <c r="O15" s="7" t="str">
        <v>Pizza lower</v>
      </c>
      <c r="P15" s="7" t="str">
        <v xml:space="preserve">Other Mood </v>
      </c>
      <c r="Q15" s="7" t="str" cm="1">
        <f t="array" ref="Q15">_xlfn.IFS(D15&gt;=50000, "Excellent", D15&gt;=40000, "Very Good", D15&gt;=30000, "Good", D15&lt;30000, "Low")</f>
        <v>Very Good</v>
      </c>
      <c r="R15" s="7" t="str" cm="1">
        <f t="array" ref="R15">_xlfn.IFS(E15&gt;=5, "Heavy", E15&gt;=3, "Moderate", E15&gt;=1, "Normal", E15=0, "No Coffee")</f>
        <v>Moderate</v>
      </c>
      <c r="S15" s="7" t="str" cm="1">
        <f t="array" ref="S15">_xlfn.IFS(F16&gt;=5, "Very High", F16&gt;=3, "high", F16&gt;=1, "Moderate", F16=0, "No Bunk")</f>
        <v>Very High</v>
      </c>
      <c r="T15" s="7" t="str" cm="1">
        <f t="array" ref="T15">_xlfn.IFS(G15&gt;=30, "Very Hgh", G15&gt;=20, "Hgh", G15&gt;=10, "Moderate", G15&lt;10, "Low")</f>
        <v>Very Hgh</v>
      </c>
      <c r="U15" s="7" t="str" cm="1">
        <f t="array" ref="U15">_xlfn.IFS(D15&gt;=50000, "A", D15&gt;=40000, "B", D15&gt;=30000, "C", D15&lt;30000, "D")</f>
        <v>B</v>
      </c>
      <c r="V15" s="7" t="str" cm="1">
        <f t="array" ref="V15">_xlfn.IFS(G15&gt;=30, "Very Active", G15&gt;=20, "Active", G15&gt;=10, "Moderate", G15&lt;10, "Less Active")</f>
        <v>Very Active</v>
      </c>
      <c r="W15" s="7" t="str" cm="1">
        <f t="array" ref="W15">_xlfn.IFS(E15&gt;=5, "Coffee Addict", E15&gt;=4, "Heavy Drinker", E15&gt;=2, "Regular Drinker", E15&lt;2, "light drinker")</f>
        <v>Heavy Drinker</v>
      </c>
      <c r="X15" s="7" t="str">
        <f t="shared" si="0"/>
        <v>Not Elgble</v>
      </c>
      <c r="Y15" s="7" t="str">
        <f t="shared" si="1"/>
        <v>Normal</v>
      </c>
      <c r="Z15" s="7" t="str">
        <f t="shared" si="2"/>
        <v>Active Employee</v>
      </c>
      <c r="AA15" s="7" t="str">
        <f t="shared" si="3"/>
        <v>Normal Employee</v>
      </c>
      <c r="AB15" s="7" t="str">
        <f t="shared" si="4"/>
        <v>Other</v>
      </c>
      <c r="AC15" s="7" t="str">
        <f t="shared" si="5"/>
        <v>Not Pizza Fan</v>
      </c>
      <c r="AD15" s="7" t="str">
        <f t="shared" si="6"/>
        <v>Needs Improvement</v>
      </c>
      <c r="AE15" s="7" t="str">
        <f t="shared" si="7"/>
        <v>Regular Employee</v>
      </c>
      <c r="AF15" s="7" t="str">
        <f t="shared" si="8"/>
        <v>Food &amp; Coffee Lover</v>
      </c>
      <c r="AG15" s="7" t="str">
        <f t="shared" si="9"/>
        <v>Very Active</v>
      </c>
      <c r="AH15" s="7" t="str">
        <f t="shared" si="10"/>
        <v>Good Mood</v>
      </c>
      <c r="AI15" s="7" t="str">
        <f t="shared" si="11"/>
        <v>Other</v>
      </c>
      <c r="AJ15" s="7" t="str">
        <f t="shared" si="12"/>
        <v>High Performer</v>
      </c>
      <c r="AK15" s="7" t="str">
        <f t="shared" si="13"/>
        <v>Reward</v>
      </c>
      <c r="AL15" s="7"/>
      <c r="AM15" s="7"/>
      <c r="AN15" s="7"/>
      <c r="AO15" s="7"/>
      <c r="AP15" s="7"/>
      <c r="AQ15" s="7"/>
      <c r="AR15" s="7"/>
      <c r="AS15" s="7"/>
    </row>
    <row r="16" spans="1:47">
      <c r="A16" s="1" t="s">
        <v>48</v>
      </c>
      <c r="B16" s="1" t="s">
        <v>49</v>
      </c>
      <c r="C16" s="1" t="s">
        <v>21</v>
      </c>
      <c r="D16" s="1">
        <v>27000</v>
      </c>
      <c r="E16" s="1">
        <v>5</v>
      </c>
      <c r="F16" s="1">
        <v>5</v>
      </c>
      <c r="G16" s="1">
        <v>27</v>
      </c>
      <c r="H16" s="1" t="s">
        <v>22</v>
      </c>
      <c r="I16" s="1" t="s">
        <v>23</v>
      </c>
      <c r="J16" s="7" t="str">
        <v>Normal salary</v>
      </c>
      <c r="K16" s="7" t="str">
        <v>Heavy Coffee Driner</v>
      </c>
      <c r="L16" s="7" t="str">
        <v>Poor Attendance</v>
      </c>
      <c r="M16" s="7" t="str">
        <v>High Search</v>
      </c>
      <c r="N16" s="7" t="str">
        <v xml:space="preserve">Other Department </v>
      </c>
      <c r="O16" s="7" t="str">
        <v>Other Food</v>
      </c>
      <c r="P16" s="7" t="str">
        <v>Good Mood</v>
      </c>
      <c r="Q16" s="7" t="str" cm="1">
        <f t="array" ref="Q16">_xlfn.IFS(D16&gt;=50000, "Excellent", D16&gt;=40000, "Very Good", D16&gt;=30000, "Good", D16&lt;30000, "Low")</f>
        <v>Low</v>
      </c>
      <c r="R16" s="7" t="str" cm="1">
        <f t="array" ref="R16">_xlfn.IFS(E16&gt;=5, "Heavy", E16&gt;=3, "Moderate", E16&gt;=1, "Normal", E16=0, "No Coffee")</f>
        <v>Heavy</v>
      </c>
      <c r="S16" s="7" t="str" cm="1">
        <f t="array" ref="S16">_xlfn.IFS(F17&gt;=5, "Very High", F17&gt;=3, "high", F17&gt;=1, "Moderate", F17=0, "No Bunk")</f>
        <v>No Bunk</v>
      </c>
      <c r="T16" s="7" t="str" cm="1">
        <f t="array" ref="T16">_xlfn.IFS(G16&gt;=30, "Very Hgh", G16&gt;=20, "Hgh", G16&gt;=10, "Moderate", G16&lt;10, "Low")</f>
        <v>Hgh</v>
      </c>
      <c r="U16" s="7" t="str" cm="1">
        <f t="array" ref="U16">_xlfn.IFS(D16&gt;=50000, "A", D16&gt;=40000, "B", D16&gt;=30000, "C", D16&lt;30000, "D")</f>
        <v>D</v>
      </c>
      <c r="V16" s="7" t="str" cm="1">
        <f t="array" ref="V16">_xlfn.IFS(G16&gt;=30, "Very Active", G16&gt;=20, "Active", G16&gt;=10, "Moderate", G16&lt;10, "Less Active")</f>
        <v>Active</v>
      </c>
      <c r="W16" s="7" t="str" cm="1">
        <f t="array" ref="W16">_xlfn.IFS(E16&gt;=5, "Coffee Addict", E16&gt;=4, "Heavy Drinker", E16&gt;=2, "Regular Drinker", E16&lt;2, "light drinker")</f>
        <v>Coffee Addict</v>
      </c>
      <c r="X16" s="7" t="str">
        <f t="shared" si="0"/>
        <v>Not Elgble</v>
      </c>
      <c r="Y16" s="7" t="str">
        <f t="shared" si="1"/>
        <v>Needs Attenton</v>
      </c>
      <c r="Z16" s="7" t="str">
        <f t="shared" si="2"/>
        <v>inactive</v>
      </c>
      <c r="AA16" s="7" t="str">
        <f t="shared" si="3"/>
        <v>Normal Employee</v>
      </c>
      <c r="AB16" s="7" t="str">
        <f t="shared" si="4"/>
        <v>Other</v>
      </c>
      <c r="AC16" s="7" t="str">
        <f t="shared" si="5"/>
        <v>Not Pizza Fan</v>
      </c>
      <c r="AD16" s="7" t="str">
        <f t="shared" si="6"/>
        <v>Needs Improvement</v>
      </c>
      <c r="AE16" s="7" t="str">
        <f t="shared" si="7"/>
        <v>Regular Employee</v>
      </c>
      <c r="AF16" s="7" t="str">
        <f t="shared" si="8"/>
        <v>Food &amp; Coffee Lover</v>
      </c>
      <c r="AG16" s="7" t="str">
        <f t="shared" si="9"/>
        <v>Normal</v>
      </c>
      <c r="AH16" s="7" t="str">
        <f t="shared" si="10"/>
        <v>Other Mood</v>
      </c>
      <c r="AI16" s="7" t="str">
        <f t="shared" si="11"/>
        <v>Technical</v>
      </c>
      <c r="AJ16" s="7" t="str">
        <f t="shared" si="12"/>
        <v>Regular Performer</v>
      </c>
      <c r="AK16" s="7" t="str">
        <f t="shared" si="13"/>
        <v>No Reward</v>
      </c>
      <c r="AL16" s="7"/>
      <c r="AM16" s="7"/>
      <c r="AN16" s="7"/>
      <c r="AO16" s="7"/>
      <c r="AP16" s="7"/>
      <c r="AQ16" s="7"/>
      <c r="AR16" s="7"/>
      <c r="AS16" s="7"/>
      <c r="AU16" s="3" t="s">
        <v>60</v>
      </c>
    </row>
    <row r="17" spans="1:47">
      <c r="A17" s="5"/>
      <c r="B17" s="5"/>
      <c r="C17" s="5"/>
      <c r="D17" s="5"/>
      <c r="E17" s="5"/>
      <c r="F17" s="5"/>
      <c r="G17" s="5"/>
      <c r="H17" s="5"/>
      <c r="I17" s="5"/>
      <c r="AU17" t="s">
        <v>61</v>
      </c>
    </row>
    <row r="19" spans="1:47">
      <c r="AU19" s="3" t="s">
        <v>62</v>
      </c>
    </row>
    <row r="20" spans="1:47">
      <c r="AU20" t="s">
        <v>63</v>
      </c>
    </row>
    <row r="21" spans="1:47">
      <c r="A21" s="4" t="s">
        <v>64</v>
      </c>
      <c r="B21" s="5"/>
    </row>
    <row r="22" spans="1:47">
      <c r="A22" s="5"/>
      <c r="B22" s="5"/>
    </row>
    <row r="23" spans="1:47">
      <c r="A23" s="2" t="s">
        <v>3</v>
      </c>
      <c r="B23" s="2" t="s">
        <v>65</v>
      </c>
    </row>
    <row r="24" spans="1:47">
      <c r="A24" s="1" t="s">
        <v>66</v>
      </c>
      <c r="B24" s="1" t="s">
        <v>67</v>
      </c>
    </row>
    <row r="25" spans="1:47">
      <c r="A25" s="1" t="s">
        <v>68</v>
      </c>
      <c r="B25" s="1" t="s">
        <v>69</v>
      </c>
    </row>
    <row r="26" spans="1:47">
      <c r="A26" s="1" t="s">
        <v>70</v>
      </c>
      <c r="B26" s="1" t="s">
        <v>71</v>
      </c>
    </row>
    <row r="27" spans="1:47">
      <c r="A27" s="1" t="s">
        <v>72</v>
      </c>
      <c r="B27" s="1" t="s">
        <v>73</v>
      </c>
    </row>
    <row r="30" spans="1:47">
      <c r="A30" s="4" t="s">
        <v>74</v>
      </c>
      <c r="B30" s="5"/>
    </row>
    <row r="31" spans="1:47">
      <c r="A31" s="5"/>
      <c r="B31" s="5"/>
    </row>
    <row r="32" spans="1:47">
      <c r="A32" s="2" t="s">
        <v>75</v>
      </c>
      <c r="B32" s="2" t="s">
        <v>65</v>
      </c>
    </row>
    <row r="33" spans="1:2">
      <c r="A33" s="1" t="s">
        <v>76</v>
      </c>
      <c r="B33" s="1" t="s">
        <v>77</v>
      </c>
    </row>
    <row r="34" spans="1:2">
      <c r="A34" s="1" t="s">
        <v>78</v>
      </c>
      <c r="B34" s="1" t="s">
        <v>79</v>
      </c>
    </row>
    <row r="35" spans="1:2">
      <c r="A35" s="1" t="s">
        <v>80</v>
      </c>
      <c r="B35" s="1" t="s">
        <v>81</v>
      </c>
    </row>
    <row r="36" spans="1:2">
      <c r="A36" s="1">
        <v>0</v>
      </c>
      <c r="B36" s="1" t="s">
        <v>82</v>
      </c>
    </row>
    <row r="39" spans="1:2">
      <c r="A39" s="4" t="s">
        <v>83</v>
      </c>
      <c r="B39" s="5"/>
    </row>
    <row r="40" spans="1:2">
      <c r="A40" s="5"/>
      <c r="B40" s="5"/>
    </row>
    <row r="41" spans="1:2">
      <c r="A41" s="2" t="s">
        <v>84</v>
      </c>
      <c r="B41" s="2" t="s">
        <v>65</v>
      </c>
    </row>
    <row r="42" spans="1:2">
      <c r="A42" s="1" t="s">
        <v>76</v>
      </c>
      <c r="B42" s="1" t="s">
        <v>85</v>
      </c>
    </row>
    <row r="43" spans="1:2">
      <c r="A43" s="1" t="s">
        <v>78</v>
      </c>
      <c r="B43" s="1" t="s">
        <v>86</v>
      </c>
    </row>
    <row r="44" spans="1:2">
      <c r="A44" s="1" t="s">
        <v>80</v>
      </c>
      <c r="B44" s="1" t="s">
        <v>79</v>
      </c>
    </row>
    <row r="45" spans="1:2">
      <c r="A45" s="1">
        <v>0</v>
      </c>
      <c r="B45" s="1" t="s">
        <v>87</v>
      </c>
    </row>
    <row r="49" spans="1:2">
      <c r="A49" s="4" t="s">
        <v>88</v>
      </c>
      <c r="B49" s="5"/>
    </row>
    <row r="50" spans="1:2">
      <c r="A50" s="5"/>
      <c r="B50" s="5"/>
    </row>
    <row r="51" spans="1:2">
      <c r="A51" s="2" t="s">
        <v>89</v>
      </c>
      <c r="B51" s="2" t="s">
        <v>65</v>
      </c>
    </row>
    <row r="52" spans="1:2">
      <c r="A52" s="1" t="s">
        <v>90</v>
      </c>
      <c r="B52" s="1" t="s">
        <v>85</v>
      </c>
    </row>
    <row r="53" spans="1:2">
      <c r="A53" s="1" t="s">
        <v>91</v>
      </c>
      <c r="B53" s="1" t="s">
        <v>86</v>
      </c>
    </row>
    <row r="54" spans="1:2">
      <c r="A54" s="1" t="s">
        <v>92</v>
      </c>
      <c r="B54" s="1" t="s">
        <v>79</v>
      </c>
    </row>
    <row r="55" spans="1:2">
      <c r="A55" s="1" t="s">
        <v>93</v>
      </c>
      <c r="B55" s="1" t="s">
        <v>73</v>
      </c>
    </row>
    <row r="59" spans="1:2">
      <c r="A59" s="4" t="s">
        <v>94</v>
      </c>
      <c r="B59" s="5"/>
    </row>
    <row r="60" spans="1:2">
      <c r="A60" s="5"/>
      <c r="B60" s="5"/>
    </row>
    <row r="61" spans="1:2">
      <c r="A61" s="2" t="s">
        <v>3</v>
      </c>
      <c r="B61" s="2" t="s">
        <v>95</v>
      </c>
    </row>
    <row r="62" spans="1:2">
      <c r="A62" s="1" t="s">
        <v>66</v>
      </c>
      <c r="B62" s="1" t="s">
        <v>96</v>
      </c>
    </row>
    <row r="63" spans="1:2">
      <c r="A63" s="1" t="s">
        <v>68</v>
      </c>
      <c r="B63" s="1" t="s">
        <v>97</v>
      </c>
    </row>
    <row r="64" spans="1:2">
      <c r="A64" s="1" t="s">
        <v>70</v>
      </c>
      <c r="B64" s="1" t="s">
        <v>98</v>
      </c>
    </row>
    <row r="65" spans="1:2">
      <c r="A65" s="1" t="s">
        <v>72</v>
      </c>
      <c r="B65" s="1" t="s">
        <v>99</v>
      </c>
    </row>
    <row r="68" spans="1:2">
      <c r="A68" s="4" t="s">
        <v>100</v>
      </c>
      <c r="B68" s="5"/>
    </row>
    <row r="69" spans="1:2">
      <c r="A69" s="5"/>
      <c r="B69" s="5"/>
    </row>
    <row r="70" spans="1:2">
      <c r="A70" s="2" t="s">
        <v>89</v>
      </c>
      <c r="B70" s="2" t="s">
        <v>101</v>
      </c>
    </row>
    <row r="71" spans="1:2">
      <c r="A71" s="1" t="s">
        <v>90</v>
      </c>
      <c r="B71" s="1" t="s">
        <v>102</v>
      </c>
    </row>
    <row r="72" spans="1:2">
      <c r="A72" s="1" t="s">
        <v>91</v>
      </c>
      <c r="B72" s="1" t="s">
        <v>103</v>
      </c>
    </row>
    <row r="73" spans="1:2">
      <c r="A73" s="1" t="s">
        <v>92</v>
      </c>
      <c r="B73" s="1" t="s">
        <v>79</v>
      </c>
    </row>
    <row r="74" spans="1:2">
      <c r="A74" s="1" t="s">
        <v>93</v>
      </c>
      <c r="B74" s="1" t="s">
        <v>104</v>
      </c>
    </row>
    <row r="78" spans="1:2">
      <c r="A78" s="4" t="s">
        <v>105</v>
      </c>
      <c r="B78" s="5"/>
    </row>
    <row r="79" spans="1:2">
      <c r="A79" s="5"/>
      <c r="B79" s="5"/>
    </row>
    <row r="80" spans="1:2">
      <c r="A80" s="2" t="s">
        <v>75</v>
      </c>
      <c r="B80" s="2" t="s">
        <v>106</v>
      </c>
    </row>
    <row r="81" spans="1:2">
      <c r="A81" s="1" t="s">
        <v>76</v>
      </c>
      <c r="B81" s="1" t="s">
        <v>107</v>
      </c>
    </row>
    <row r="82" spans="1:2">
      <c r="A82" s="1" t="s">
        <v>108</v>
      </c>
      <c r="B82" s="1" t="s">
        <v>109</v>
      </c>
    </row>
    <row r="83" spans="1:2">
      <c r="A83" s="1" t="s">
        <v>110</v>
      </c>
      <c r="B83" s="1" t="s">
        <v>111</v>
      </c>
    </row>
    <row r="84" spans="1:2">
      <c r="A84" s="1" t="s">
        <v>112</v>
      </c>
      <c r="B84" s="1" t="s">
        <v>113</v>
      </c>
    </row>
    <row r="87" spans="1:2">
      <c r="A87" s="3" t="s">
        <v>114</v>
      </c>
    </row>
    <row r="88" spans="1:2">
      <c r="A88" t="s">
        <v>115</v>
      </c>
    </row>
    <row r="90" spans="1:2">
      <c r="A90" s="3" t="s">
        <v>116</v>
      </c>
    </row>
    <row r="91" spans="1:2">
      <c r="A91" t="s">
        <v>117</v>
      </c>
    </row>
    <row r="93" spans="1:2">
      <c r="A93" s="3" t="s">
        <v>118</v>
      </c>
    </row>
    <row r="94" spans="1:2">
      <c r="A94" t="s">
        <v>119</v>
      </c>
    </row>
    <row r="96" spans="1:2">
      <c r="A96" s="3" t="s">
        <v>120</v>
      </c>
    </row>
    <row r="97" spans="1:1">
      <c r="A97" t="s">
        <v>121</v>
      </c>
    </row>
    <row r="99" spans="1:1">
      <c r="A99" s="3" t="s">
        <v>122</v>
      </c>
    </row>
    <row r="100" spans="1:1">
      <c r="A100" t="s">
        <v>123</v>
      </c>
    </row>
    <row r="102" spans="1:1">
      <c r="A102" s="3" t="s">
        <v>124</v>
      </c>
    </row>
    <row r="103" spans="1:1">
      <c r="A103" t="s">
        <v>125</v>
      </c>
    </row>
    <row r="105" spans="1:1">
      <c r="A105" s="3" t="s">
        <v>126</v>
      </c>
    </row>
    <row r="106" spans="1:1">
      <c r="A106" t="s">
        <v>127</v>
      </c>
    </row>
    <row r="110" spans="1:1">
      <c r="A110" s="3" t="s">
        <v>128</v>
      </c>
    </row>
    <row r="111" spans="1:1">
      <c r="A111" t="s">
        <v>129</v>
      </c>
    </row>
    <row r="113" spans="1:1">
      <c r="A113" s="3" t="s">
        <v>130</v>
      </c>
    </row>
    <row r="114" spans="1:1">
      <c r="A114" t="s">
        <v>131</v>
      </c>
    </row>
    <row r="116" spans="1:1">
      <c r="A116" s="3" t="s">
        <v>132</v>
      </c>
    </row>
    <row r="117" spans="1:1">
      <c r="A117" t="s">
        <v>133</v>
      </c>
    </row>
    <row r="119" spans="1:1">
      <c r="A119" s="3" t="s">
        <v>134</v>
      </c>
    </row>
    <row r="120" spans="1:1">
      <c r="A120" t="s">
        <v>135</v>
      </c>
    </row>
    <row r="122" spans="1:1">
      <c r="A122" s="3" t="s">
        <v>136</v>
      </c>
    </row>
    <row r="123" spans="1:1">
      <c r="A123" t="s">
        <v>137</v>
      </c>
    </row>
    <row r="125" spans="1:1">
      <c r="A125" s="3" t="s">
        <v>138</v>
      </c>
    </row>
    <row r="126" spans="1:1">
      <c r="A126" t="s">
        <v>139</v>
      </c>
    </row>
    <row r="128" spans="1:1">
      <c r="A128" s="3" t="s">
        <v>140</v>
      </c>
    </row>
    <row r="129" spans="1:1">
      <c r="A129" t="s">
        <v>141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Prabhu Diggi</dc:creator>
  <cp:lastModifiedBy>Apeksha Ugale</cp:lastModifiedBy>
  <dcterms:created xsi:type="dcterms:W3CDTF">2026-09-21T06:39:29Z</dcterms:created>
  <dcterms:modified xsi:type="dcterms:W3CDTF">2026-09-30T03:14:51Z</dcterms:modified>
</cp:coreProperties>
</file>